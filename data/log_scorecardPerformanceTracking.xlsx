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rrowglobalgroup-my.sharepoint.com/personal/tbellas_arrowglobal_net/Documents/Arrow/Platforms_Budget_Tracking/Scorecard_Performance_Tracking/"/>
    </mc:Choice>
  </mc:AlternateContent>
  <xr:revisionPtr revIDLastSave="70" documentId="8_{9A7DF11A-0ED5-44BB-9A96-005B3C2AF790}" xr6:coauthVersionLast="47" xr6:coauthVersionMax="47" xr10:uidLastSave="{5471AD40-10D7-4764-B62C-FFE13190A700}"/>
  <bookViews>
    <workbookView xWindow="28680" yWindow="-120" windowWidth="29040" windowHeight="15720" xr2:uid="{00000000-000D-0000-FFFF-FFFF00000000}"/>
  </bookViews>
  <sheets>
    <sheet name="Capital_Committ_Fund_Perform" sheetId="1" r:id="rId1"/>
    <sheet name="Realisations_Fund_Perform" sheetId="2" r:id="rId2"/>
    <sheet name="EBITDA" sheetId="3" r:id="rId3"/>
    <sheet name="EBITDA Margin" sheetId="4" r:id="rId4"/>
    <sheet name="Revenue" sheetId="5" r:id="rId5"/>
    <sheet name="Business Performance &amp; ESG" sheetId="10" r:id="rId6"/>
    <sheet name="Platform Performance" sheetId="9" r:id="rId7"/>
    <sheet name="Business Performance &amp; ESG_V1" sheetId="6" r:id="rId8"/>
    <sheet name="Platform Performance_V1" sheetId="7" r:id="rId9"/>
    <sheet name="_Extraction_Summary" sheetId="8"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5" l="1"/>
  <c r="D3" i="5"/>
  <c r="E3" i="5"/>
  <c r="F3" i="5"/>
  <c r="C4" i="5"/>
  <c r="D4" i="5"/>
  <c r="E4" i="5"/>
  <c r="F4" i="5"/>
  <c r="C5" i="5"/>
  <c r="D5" i="5"/>
  <c r="E5" i="5"/>
  <c r="F5" i="5"/>
  <c r="C6" i="5"/>
  <c r="D6" i="5"/>
  <c r="E6" i="5"/>
  <c r="F6" i="5"/>
  <c r="C7" i="5"/>
  <c r="D7" i="5"/>
  <c r="E7" i="5"/>
  <c r="F7" i="5"/>
  <c r="C8" i="5"/>
  <c r="D8" i="5"/>
  <c r="E8" i="5"/>
  <c r="F8" i="5"/>
  <c r="C9" i="5"/>
  <c r="D9" i="5"/>
  <c r="E9" i="5"/>
  <c r="F9" i="5"/>
  <c r="C10" i="5"/>
  <c r="D10" i="5"/>
  <c r="E10" i="5"/>
  <c r="F10" i="5"/>
  <c r="C11" i="5"/>
  <c r="D11" i="5"/>
  <c r="E11" i="5"/>
  <c r="F11" i="5"/>
  <c r="C12" i="5"/>
  <c r="D12" i="5"/>
  <c r="E12" i="5"/>
  <c r="F12" i="5"/>
  <c r="C13" i="5"/>
  <c r="D13" i="5"/>
  <c r="E13" i="5"/>
  <c r="F13" i="5"/>
  <c r="C14" i="5"/>
  <c r="D14" i="5"/>
  <c r="E14" i="5"/>
  <c r="F14" i="5"/>
  <c r="C15" i="5"/>
  <c r="D15" i="5"/>
  <c r="E15" i="5"/>
  <c r="F15" i="5"/>
  <c r="C16" i="5"/>
  <c r="D16" i="5"/>
  <c r="E16" i="5"/>
  <c r="F16" i="5"/>
  <c r="C17" i="5"/>
  <c r="D17" i="5"/>
  <c r="E17" i="5"/>
  <c r="F17" i="5"/>
  <c r="C18" i="5"/>
  <c r="D18" i="5"/>
  <c r="E18" i="5"/>
  <c r="F18" i="5"/>
  <c r="C19" i="5"/>
  <c r="D19" i="5"/>
  <c r="E19" i="5"/>
  <c r="F19" i="5"/>
  <c r="C20" i="5"/>
  <c r="D20" i="5"/>
  <c r="E20" i="5"/>
  <c r="F20" i="5"/>
  <c r="C21" i="5"/>
  <c r="D21" i="5"/>
  <c r="E21" i="5"/>
  <c r="F21" i="5"/>
  <c r="C22" i="5"/>
  <c r="D22" i="5"/>
  <c r="E22" i="5"/>
  <c r="F22" i="5"/>
  <c r="D2" i="5"/>
  <c r="E2" i="5"/>
  <c r="F2" i="5"/>
  <c r="C2" i="5"/>
</calcChain>
</file>

<file path=xl/sharedStrings.xml><?xml version="1.0" encoding="utf-8"?>
<sst xmlns="http://schemas.openxmlformats.org/spreadsheetml/2006/main" count="899" uniqueCount="148">
  <si>
    <t>Platform</t>
  </si>
  <si>
    <t>Country</t>
  </si>
  <si>
    <t>KPI</t>
  </si>
  <si>
    <t>LQ_Floor</t>
  </si>
  <si>
    <t>On_Target</t>
  </si>
  <si>
    <t>UQ</t>
  </si>
  <si>
    <t>Investment Platform Weighting</t>
  </si>
  <si>
    <t>Servicing Platform Weighting</t>
  </si>
  <si>
    <t>2026 Budget</t>
  </si>
  <si>
    <t>2026 Actual</t>
  </si>
  <si>
    <t>Total Fund</t>
  </si>
  <si>
    <t>Total Arrow Backbook</t>
  </si>
  <si>
    <t>Period</t>
  </si>
  <si>
    <t>Revenue Actual €m</t>
  </si>
  <si>
    <t>Revenue Variance €m</t>
  </si>
  <si>
    <t>EBITDA Actual €m</t>
  </si>
  <si>
    <t>EBITDA Variance €m</t>
  </si>
  <si>
    <t>Rate</t>
  </si>
  <si>
    <t>Eagle Street &amp; BCC</t>
  </si>
  <si>
    <t>UK</t>
  </si>
  <si>
    <t>Committed Capital</t>
  </si>
  <si>
    <t>95-105%</t>
  </si>
  <si>
    <t>Uncapped</t>
  </si>
  <si>
    <t>-</t>
  </si>
  <si>
    <t>2026-Q1</t>
  </si>
  <si>
    <t>Italy Combined</t>
  </si>
  <si>
    <t>IT</t>
  </si>
  <si>
    <t>EI</t>
  </si>
  <si>
    <t>Borio PM</t>
  </si>
  <si>
    <t>Interboden</t>
  </si>
  <si>
    <t>GER</t>
  </si>
  <si>
    <t>Mars Ireland</t>
  </si>
  <si>
    <t>IRE</t>
  </si>
  <si>
    <t>Portugal</t>
  </si>
  <si>
    <t>PT</t>
  </si>
  <si>
    <t>Realisations</t>
  </si>
  <si>
    <t>EBITDA</t>
  </si>
  <si>
    <t>Sagitta</t>
  </si>
  <si>
    <t>EBITDA Margin</t>
  </si>
  <si>
    <t>Norfin</t>
  </si>
  <si>
    <t>Restart</t>
  </si>
  <si>
    <t>Whitestar PT</t>
  </si>
  <si>
    <t>Details</t>
  </si>
  <si>
    <t>Nexor</t>
  </si>
  <si>
    <t>From Advisory</t>
  </si>
  <si>
    <t>Maslow PT</t>
  </si>
  <si>
    <t>Returns delivered to LPs - Improve investment performance and capital efficiency delivering to Business Plan IRR and assumed cost curves at underwriting.
Update and maintain CRM through the deal process</t>
  </si>
  <si>
    <t>Group Strategy
Act collaboratively across the Arrow Group to further the Group Strategic outcomes.
Align platform strategy and delivery model to actively support execution of Group Strategy ensuring consistency in priorities and performance outcomes.</t>
  </si>
  <si>
    <t>People &amp; Culture;
- Maintain ESG contributions / including investment standards
- Maintain Peakon Engagement levels
- Have robust Succession &amp; Development Plans in place</t>
  </si>
  <si>
    <t>Technology
Deliver measurable cost reductions by deploying process, technology, data and AI-enabled automation to streamline operations for the longer term.</t>
  </si>
  <si>
    <t>People &amp; Culture;
- Maintain ESG contributions / including investment standards
- maintain "Great Place to Work" certification
- Have robust Succession &amp; Development Plans in place</t>
  </si>
  <si>
    <t>- Ensure BP exits achieved 
- Ensure BP milestones met (e.g. planning/CAPEX/Leasing …) for all deal not expected to be sold
- Implement company restructuring - rationalise resources on run-off business, strengthen retail AM team, technical team, origination capabilities
- Introduce disciplined AM practices, governance, accountability - develop ESP as capable autonomous entity requiring substantially less group oversight
- Mentor WB to prepare him for increased responsibility for ESP
- Role transition to part time Executive</t>
  </si>
  <si>
    <t>1.	Complete the Borio acquisition and progress with the Borio integration
2.	Reduce EI cost basis as requested by YE
3.	Achieve the PM collection budged and take all agreed PM actions to safeguard future collections
4.	Set up a viable Italian lending business platform
5.	VESTING: contribute to the sale of the platform (or its stabilisation, absent sale)</t>
  </si>
  <si>
    <t>1.	Grow the Lending business in Italy in an efficient fashion
2.	Reduce the overall cost of EI by carrying out re-structuring actions agreed with Group
3.	Ensure that agreed PM 2026 actions are on track to safeguard future collections
4.	Ensure that EI's managers are all aligned with the objectives of the scorecard
5.	Cooperate with iQera to cross-pollinate the business and insource services wherever possible</t>
  </si>
  <si>
    <t>1.	Complete the Borio acquisition
2.	Facilitate the integration of Borio (REIM &amp; GC) within the Group
3.	Ensure that agreed Asset Management 2026 actions are on track to safeguard future collections
4.	Continue to build up local investment and asset management capabilities
5.	Cooperate with iQera to cross-pollinate the business and insource services wherever possible</t>
  </si>
  <si>
    <t>- establish lending and credit capabilities
- increase local presence by establishing offices / representations in Frankfurt, Munich and Hamburg in addition to Berlin and Düsseldorf
- increase capabilities for hospitality, serviced apartments and PBSA either 
- eliminate missing manpower / capabilities in construction execution, sales and asset management
- increase acquisition efficiency</t>
  </si>
  <si>
    <t>•     Arrow Investments : Ensure Acorn and Lille are adequately resourced and continue to meet or exceed Busines Plan targets
•     Efficiency / Transformation: Deliver Beacon 2026 plan to restructure operating model to reduce cost base to agreed 2026 YE targets within risk appetite
•     Revenue : Measurable progress made on strategic growth initiatives in 2026
•     Customer : Improve Customer service and experience over 2026 including decreasing errors and decreasing upheld customer complaints with improved customer service levels and the successful implementation of the revised Consumer Protection Code (CPC 2025).
•     Risk and Compliance : Reduce enterprise risk by normalising KRIs and BAU risk metrics in H1 2026 and returning enterprise risk profile to Amber with a clear path to green
•     Regulatory : Manage CBI relationship carefully to rebuild trust and steer regulatory relationship with the CBI back to a BAU setting.
•     AI : Develop and implement Mars AI strategy aligned with Group AI strategy and lay foundation for an Agentic AI servicing business. Work closely with Mantle team to ensure agreed Beacon / Mantle 2026 goals are delivered on schedule.
•     People :  New organisation structure implemented with a high performing Executive team in place to drive the Mars and Arrow strategic agenda with succession and development plans in place.</t>
  </si>
  <si>
    <t>- Deliver on the execution of the Business Plans for the Fund´s existing investments – implement the re-shaping in the RE vertical, including the integration of Transfor and Engexpor in the perimeter. Adapt resources, improve governance, adjust rate card. Deliver on key AM milestones for RE develolpment projects
- Reshape Whitestar to reflect market conditions
-  Consolidate the mix of brands and respective market approach – AGPT vs platforms - strengthening the transversal principles that unify 
us as Arrow Global Portugal, driving collective success while respecting the individuality of each company and its key drivers of success.
- Lead the roll out of Arrow in Spain, achieving deployment of €338m (Maslow runs pretty much on its own - €99m
– Hit the realisation target not just as a number but with the right mix of positions
- Create an hospitality AM business out of Details</t>
  </si>
  <si>
    <t>1) AGG capital deployment support  - means the availability and flexibility to accomodate fee reduction for Arrow only funds
2) Support AG group to structure the Italian Lending Platform accordingly to AG needs/proposals. 
3) Develop Advisory revenues for Third Party clients
4) RISK :  risk profile of the funds or of the portfolio under management substantially aligned</t>
  </si>
  <si>
    <t>Output generated</t>
  </si>
  <si>
    <t>2026-06-02 10:13</t>
  </si>
  <si>
    <t>Period applied</t>
  </si>
  <si>
    <t>Capital rows</t>
  </si>
  <si>
    <t>Realisations rows</t>
  </si>
  <si>
    <t>EBITDA rows</t>
  </si>
  <si>
    <t>EBITDA Margin rows</t>
  </si>
  <si>
    <t>Revenue rows</t>
  </si>
  <si>
    <t>Business Performance &amp; ESG rows</t>
  </si>
  <si>
    <t>Platform Performance rows</t>
  </si>
  <si>
    <t>Source file</t>
  </si>
  <si>
    <t>Source sheet</t>
  </si>
  <si>
    <t>KPI/section</t>
  </si>
  <si>
    <t>Platform/entity</t>
  </si>
  <si>
    <t>Performance Scorecard_Eagle Street vF.xlsx</t>
  </si>
  <si>
    <t>Combined</t>
  </si>
  <si>
    <t>Revenue Budget 2026 section</t>
  </si>
  <si>
    <t>Performance Scorecard_EI_Borio_Italy vF.xlsx</t>
  </si>
  <si>
    <t>Combined - Marco</t>
  </si>
  <si>
    <t>EI - Daniele</t>
  </si>
  <si>
    <t>Borio - Donato</t>
  </si>
  <si>
    <t>Performance Scorecard_Germany vf.xlsx</t>
  </si>
  <si>
    <t>Performance Scorecard_Mars_vF.xlsx</t>
  </si>
  <si>
    <t>Performance Scorecard_Portugal vF.xlsx</t>
  </si>
  <si>
    <t>Performance Scorecard_Sagitta vF.xlsx</t>
  </si>
  <si>
    <t>Eagle Street &amp; BCC UK</t>
  </si>
  <si>
    <t>Ensure BP exits achieved</t>
  </si>
  <si>
    <t>Ensure BP milestones met (e.g. planning/CAPEX/Leasing ...) for all deal not expected to be sold</t>
  </si>
  <si>
    <t>Implement company restructuring - rationalise resources on run-off business, strengthen retail AM team, technical team, origination capabilities</t>
  </si>
  <si>
    <t>Introduce disciplined AM practices, governance, accountability - develop ESP as capable autonomous entity requiring substantially less group oversight</t>
  </si>
  <si>
    <t>Mentor WB to prepare him for increased responsibility for ESP</t>
  </si>
  <si>
    <t>Role transition to part time Executive</t>
  </si>
  <si>
    <t>Complete the Borio acquisition and progress with the Borio integration</t>
  </si>
  <si>
    <t>Reduce EI cost basis as requested by YE</t>
  </si>
  <si>
    <t>Achieve the PM collection budget and take all agreed PM actions to safeguard future collections</t>
  </si>
  <si>
    <t>Set up a viable Italian lending business platform</t>
  </si>
  <si>
    <t>VESTING: contribute to the sale of the platform (or its stabilisation, absent sale)</t>
  </si>
  <si>
    <t>Grow the Lending business in Italy in an efficient fashion</t>
  </si>
  <si>
    <t>Reduce the overall cost of EI by carrying out re-structuring actions agreed with Group</t>
  </si>
  <si>
    <t>Ensure that agreed PM 2026 actions are on track to safeguard future collections</t>
  </si>
  <si>
    <t>Ensure that EI's managers are all aligned with the objectives of the scorecard</t>
  </si>
  <si>
    <t>Cooperate with iQera to cross-pollinate the business and insource services wherever possible</t>
  </si>
  <si>
    <t>Complete the Borio acquisition</t>
  </si>
  <si>
    <t>Facilitate the integration of Borio (REIM &amp; GC) within the Group</t>
  </si>
  <si>
    <t>Ensure that agreed Asset Management 2026 actions are on track to safeguard future collections</t>
  </si>
  <si>
    <t>Continue to build up local investment and asset management capabilities</t>
  </si>
  <si>
    <t>Establish lending and credit capabilities</t>
  </si>
  <si>
    <t>Increase local presence by establishing offices / representations in Frankfurt, Munich and Hamburg in addition to Berlin and Düsseldorf</t>
  </si>
  <si>
    <t>Increase capabilities for hospitality, serviced apartments and PBSA either</t>
  </si>
  <si>
    <t>Eliminate missing manpower / capabilities in construction execution, sales and asset management</t>
  </si>
  <si>
    <t>Increase acquisition efficiency</t>
  </si>
  <si>
    <t>Arrow Investments: Ensure Acorn and Lille are adequately resourced and continue to meet or exceed Business Plan targets</t>
  </si>
  <si>
    <t>Efficiency / Transformation: Deliver Beacon 2026 plan to restructure operating model to reduce cost base to agreed 2026 YE targets within risk appetite</t>
  </si>
  <si>
    <t>Revenue: Measurable progress made on strategic growth initiatives in 2026</t>
  </si>
  <si>
    <t>Customer: Improve Customer service and experience over 2026 including decreasing errors and decreasing upheld customer complaints with improved customer service levels and the successful implementation of the revised Consumer Protection Code (CPC 2025).</t>
  </si>
  <si>
    <t>Risk and Compliance: Reduce enterprise risk by normalising KRIs and BAU risk metrics in H1 2026 and returning enterprise risk profile to Amber with a clear path to green</t>
  </si>
  <si>
    <t>Regulatory: Manage CBI relationship carefully to rebuild trust and steer regulatory relationship with the CBI back to a BAU setting.</t>
  </si>
  <si>
    <t>AI: Develop and implement Mars AI strategy aligned with Group AI strategy and lay foundation for an Agentic AI servicing business. Work closely with Mantle team to ensure agreed Beacon / Mantle 2026 goals are delivered on schedule.</t>
  </si>
  <si>
    <t>People: New organisation structure implemented with a high performing Executive team in place to drive the Mars and Arrow strategic agenda with succession and development plans in place.</t>
  </si>
  <si>
    <t>Deliver on the execution of the Business Plans for the Fund's existing investments - implement the re-shaping in the RE vertical, including the integration of Transfor and Engexpor in the perimeter. Adapt resources, improve governance, adjust rate card. Deliver on key AM milestones for RE development projects</t>
  </si>
  <si>
    <t>Reshape Whitestar to reflect market conditions</t>
  </si>
  <si>
    <t>Consolidate the mix of brands and respective market approach - AGPT vs platforms - strengthening the transversal principles that unify us as Arrow Global Portugal, driving collective success while respecting the individuality of each company and its key drivers of success.</t>
  </si>
  <si>
    <t>Lead the roll out of Arrow in Spain, achieving deployment of €338m (Maslow runs pretty much on its own - €99m)</t>
  </si>
  <si>
    <t>Hit the realisation target not just as a number but with the right mix of positions</t>
  </si>
  <si>
    <t>Create an hospitality AM business out of Details</t>
  </si>
  <si>
    <t>AGG capital deployment support - means the availability and flexibility to accommodate fee reduction for Arrow only funds</t>
  </si>
  <si>
    <t>Support AG group to structure the Italian Lending Platform accordingly to AG needs/proposals.</t>
  </si>
  <si>
    <t>Develop Advisory revenues for Third Party clients</t>
  </si>
  <si>
    <t>RISK: risk profile of the funds or of the portfolio under management substantially aligned</t>
  </si>
  <si>
    <t>Zenith</t>
  </si>
  <si>
    <t>23 Capital</t>
  </si>
  <si>
    <t>Maslow</t>
  </si>
  <si>
    <t>UK/ES/IE</t>
  </si>
  <si>
    <t>Drydens - APS</t>
  </si>
  <si>
    <t>Drydens</t>
  </si>
  <si>
    <t>Amitra</t>
  </si>
  <si>
    <t>ESP</t>
  </si>
  <si>
    <t>Vesting</t>
  </si>
  <si>
    <t>NL</t>
  </si>
  <si>
    <t>Non-platform: Central</t>
  </si>
  <si>
    <t>Non-platform: AGGFM</t>
  </si>
  <si>
    <t>2026-Q2</t>
  </si>
  <si>
    <t>2026-Q3</t>
  </si>
  <si>
    <t>2026-Q4</t>
  </si>
  <si>
    <t>2026-Q5</t>
  </si>
  <si>
    <t>2026-Q6</t>
  </si>
  <si>
    <t>2026-Q7</t>
  </si>
  <si>
    <t>2026-Q8</t>
  </si>
  <si>
    <t>2026-Q9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</si>
</sst>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5" x14ac:knownFonts="1">
    <font>
      <sz val="11"/>
      <color theme="1"/>
      <name val="Aptos Narrow"/>
    </font>
    <font>
      <sz val="11"/>
      <color theme="1"/>
      <name val="Aptos Narrow"/>
      <family val="2"/>
    </font>
    <font>
      <b/>
      <sz val="11"/>
      <color theme="1"/>
      <name val="Aptos Narrow"/>
      <family val="2"/>
    </font>
    <font>
      <sz val="10"/>
      <color theme="1"/>
      <name val="Aptos Narrow"/>
      <family val="2"/>
    </font>
    <font>
      <sz val="8"/>
      <name val="Aptos Narrow"/>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0" fontId="0" fillId="0" borderId="0" xfId="0" applyAlignment="1">
      <alignment horizontal="center"/>
    </xf>
    <xf numFmtId="164" fontId="0" fillId="0" borderId="0" xfId="1" applyNumberFormat="1" applyFont="1" applyAlignment="1">
      <alignment horizontal="center"/>
    </xf>
    <xf numFmtId="0" fontId="0" fillId="0" borderId="0" xfId="1" applyNumberFormat="1" applyFont="1" applyAlignment="1">
      <alignment horizontal="center"/>
    </xf>
    <xf numFmtId="0" fontId="0" fillId="0" borderId="0" xfId="0" applyAlignment="1">
      <alignment wrapText="1"/>
    </xf>
    <xf numFmtId="0" fontId="0" fillId="0" borderId="0" xfId="0" applyAlignment="1">
      <alignment horizontal="center" vertical="center"/>
    </xf>
    <xf numFmtId="0" fontId="2" fillId="0" borderId="0" xfId="0" applyFont="1"/>
    <xf numFmtId="2" fontId="0" fillId="0" borderId="0" xfId="0" applyNumberFormat="1"/>
    <xf numFmtId="0" fontId="3" fillId="0" borderId="0" xfId="0" applyFont="1" applyAlignment="1">
      <alignment wrapText="1"/>
    </xf>
    <xf numFmtId="0" fontId="1" fillId="0" borderId="0" xfId="0" applyFont="1"/>
    <xf numFmtId="10" fontId="0" fillId="0" borderId="0" xfId="1" applyNumberFormat="1" applyFont="1" applyAlignment="1">
      <alignment horizontal="center"/>
    </xf>
    <xf numFmtId="10" fontId="0" fillId="0" borderId="0" xfId="0" applyNumberFormat="1" applyAlignment="1">
      <alignment horizontal="center"/>
    </xf>
    <xf numFmtId="164" fontId="0" fillId="0" borderId="0" xfId="0" applyNumberFormat="1" applyAlignment="1">
      <alignment horizontal="center"/>
    </xf>
  </cellXfs>
  <cellStyles count="3">
    <cellStyle name="Comma" xfId="1" xr:uid="{00000000-0005-0000-0000-000000000000}"/>
    <cellStyle name="Normal" xfId="0" builtinId="0"/>
    <cellStyle name="Percent"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
  <sheetViews>
    <sheetView tabSelected="1" workbookViewId="0"/>
  </sheetViews>
  <sheetFormatPr defaultRowHeight="14.5" x14ac:dyDescent="0.35"/>
  <cols>
    <col min="1" max="1" width="16.08984375" bestFit="1" customWidth="1"/>
    <col min="2" max="2" width="7.36328125" bestFit="1" customWidth="1"/>
    <col min="3" max="3" width="16.7265625" bestFit="1" customWidth="1"/>
    <col min="4" max="4" width="8.26953125" bestFit="1" customWidth="1"/>
    <col min="5" max="5" width="9.36328125" bestFit="1" customWidth="1"/>
    <col min="6" max="6" width="9.54296875" bestFit="1" customWidth="1"/>
    <col min="7" max="7" width="27" bestFit="1" customWidth="1"/>
    <col min="8" max="8" width="25.36328125" bestFit="1" customWidth="1"/>
    <col min="9" max="10" width="11.81640625" bestFit="1" customWidth="1"/>
    <col min="11" max="11" width="11.453125" bestFit="1" customWidth="1"/>
    <col min="12" max="12" width="19.453125" bestFit="1" customWidth="1"/>
    <col min="13" max="13" width="7.816406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18</v>
      </c>
      <c r="B2" t="s">
        <v>19</v>
      </c>
      <c r="C2" t="s">
        <v>20</v>
      </c>
      <c r="D2">
        <v>0.9</v>
      </c>
      <c r="E2" t="s">
        <v>21</v>
      </c>
      <c r="F2" t="s">
        <v>22</v>
      </c>
      <c r="G2">
        <v>0.25</v>
      </c>
      <c r="H2">
        <v>7.4999999999999997E-2</v>
      </c>
      <c r="I2">
        <v>169418304.30000001</v>
      </c>
      <c r="J2">
        <v>-4310679.3599999994</v>
      </c>
      <c r="K2">
        <v>-4310679.3599999994</v>
      </c>
      <c r="L2">
        <v>0</v>
      </c>
      <c r="M2" t="s">
        <v>24</v>
      </c>
    </row>
    <row r="3" spans="1:13" x14ac:dyDescent="0.35">
      <c r="A3" t="s">
        <v>25</v>
      </c>
      <c r="B3" t="s">
        <v>26</v>
      </c>
      <c r="C3" t="s">
        <v>20</v>
      </c>
      <c r="D3">
        <v>0.9</v>
      </c>
      <c r="E3" t="s">
        <v>21</v>
      </c>
      <c r="F3" t="s">
        <v>22</v>
      </c>
      <c r="G3">
        <v>0.25</v>
      </c>
      <c r="H3">
        <v>7.4999999999999997E-2</v>
      </c>
      <c r="I3">
        <v>407070008.83000004</v>
      </c>
      <c r="J3">
        <v>58323938.200000003</v>
      </c>
      <c r="K3">
        <v>0</v>
      </c>
      <c r="L3">
        <v>0</v>
      </c>
      <c r="M3" t="s">
        <v>24</v>
      </c>
    </row>
    <row r="4" spans="1:13" x14ac:dyDescent="0.35">
      <c r="A4" t="s">
        <v>27</v>
      </c>
      <c r="B4" t="s">
        <v>26</v>
      </c>
      <c r="C4" t="s">
        <v>20</v>
      </c>
      <c r="D4">
        <v>0.9</v>
      </c>
      <c r="E4" t="s">
        <v>21</v>
      </c>
      <c r="F4" t="s">
        <v>22</v>
      </c>
      <c r="G4">
        <v>0.25</v>
      </c>
      <c r="H4">
        <v>7.4999999999999997E-2</v>
      </c>
      <c r="I4">
        <v>296067073.17073172</v>
      </c>
      <c r="J4">
        <v>55223938.200000003</v>
      </c>
      <c r="K4">
        <v>0</v>
      </c>
      <c r="L4">
        <v>0</v>
      </c>
      <c r="M4" t="s">
        <v>24</v>
      </c>
    </row>
    <row r="5" spans="1:13" x14ac:dyDescent="0.35">
      <c r="A5" t="s">
        <v>28</v>
      </c>
      <c r="B5" t="s">
        <v>26</v>
      </c>
      <c r="C5" t="s">
        <v>20</v>
      </c>
      <c r="D5">
        <v>0.9</v>
      </c>
      <c r="E5" t="s">
        <v>21</v>
      </c>
      <c r="F5" t="s">
        <v>22</v>
      </c>
      <c r="G5">
        <v>0.25</v>
      </c>
      <c r="H5">
        <v>7.4999999999999997E-2</v>
      </c>
      <c r="I5">
        <v>111002935.65926829</v>
      </c>
      <c r="J5">
        <v>3100000</v>
      </c>
      <c r="K5">
        <v>0</v>
      </c>
      <c r="L5">
        <v>0</v>
      </c>
      <c r="M5" t="s">
        <v>24</v>
      </c>
    </row>
    <row r="6" spans="1:13" x14ac:dyDescent="0.35">
      <c r="A6" t="s">
        <v>29</v>
      </c>
      <c r="B6" t="s">
        <v>30</v>
      </c>
      <c r="C6" t="s">
        <v>20</v>
      </c>
      <c r="D6">
        <v>0.9</v>
      </c>
      <c r="E6" t="s">
        <v>21</v>
      </c>
      <c r="F6" t="s">
        <v>22</v>
      </c>
      <c r="G6">
        <v>0.25</v>
      </c>
      <c r="H6">
        <v>7.4999999999999997E-2</v>
      </c>
      <c r="I6">
        <v>257764315.75</v>
      </c>
      <c r="J6">
        <v>7819246</v>
      </c>
      <c r="K6">
        <v>0</v>
      </c>
      <c r="L6">
        <v>0</v>
      </c>
      <c r="M6" t="s">
        <v>24</v>
      </c>
    </row>
    <row r="7" spans="1:13" x14ac:dyDescent="0.35">
      <c r="A7" t="s">
        <v>31</v>
      </c>
      <c r="B7" t="s">
        <v>32</v>
      </c>
      <c r="C7" t="s">
        <v>20</v>
      </c>
      <c r="D7">
        <v>0.9</v>
      </c>
      <c r="E7" t="s">
        <v>21</v>
      </c>
      <c r="F7" t="s">
        <v>22</v>
      </c>
      <c r="G7">
        <v>0.25</v>
      </c>
      <c r="H7">
        <v>7.4999999999999997E-2</v>
      </c>
      <c r="I7">
        <v>25000000</v>
      </c>
      <c r="J7">
        <v>87231745.439999998</v>
      </c>
      <c r="K7">
        <v>0</v>
      </c>
      <c r="L7">
        <v>0</v>
      </c>
      <c r="M7" t="s">
        <v>24</v>
      </c>
    </row>
    <row r="8" spans="1:13" x14ac:dyDescent="0.35">
      <c r="A8" t="s">
        <v>33</v>
      </c>
      <c r="B8" t="s">
        <v>34</v>
      </c>
      <c r="C8" t="s">
        <v>20</v>
      </c>
      <c r="D8">
        <v>0.9</v>
      </c>
      <c r="E8" t="s">
        <v>21</v>
      </c>
      <c r="F8" t="s">
        <v>22</v>
      </c>
      <c r="G8">
        <v>0.25</v>
      </c>
      <c r="H8">
        <v>7.4999999999999997E-2</v>
      </c>
      <c r="I8">
        <v>533649378.24000001</v>
      </c>
      <c r="J8">
        <v>71147732.040000007</v>
      </c>
      <c r="K8">
        <v>71147732.040000007</v>
      </c>
      <c r="L8">
        <v>0</v>
      </c>
      <c r="M8"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
  <sheetViews>
    <sheetView workbookViewId="0">
      <selection activeCell="L3" sqref="L3"/>
    </sheetView>
  </sheetViews>
  <sheetFormatPr defaultRowHeight="14.5" x14ac:dyDescent="0.35"/>
  <cols>
    <col min="1" max="1" width="16.08984375" bestFit="1" customWidth="1"/>
    <col min="2" max="2" width="7.36328125" bestFit="1" customWidth="1"/>
    <col min="3" max="3" width="11.453125" bestFit="1" customWidth="1"/>
    <col min="4" max="4" width="8.26953125" bestFit="1" customWidth="1"/>
    <col min="5" max="5" width="9.36328125" bestFit="1" customWidth="1"/>
    <col min="6" max="6" width="9.54296875" bestFit="1" customWidth="1"/>
    <col min="7" max="7" width="27" bestFit="1" customWidth="1"/>
    <col min="8" max="8" width="25.36328125" bestFit="1" customWidth="1"/>
    <col min="9" max="9" width="18.54296875" bestFit="1" customWidth="1"/>
    <col min="10" max="10" width="12.36328125" bestFit="1" customWidth="1"/>
    <col min="11" max="11" width="12.54296875" bestFit="1" customWidth="1"/>
    <col min="12" max="12" width="19.54296875" bestFit="1" customWidth="1"/>
    <col min="13" max="13" width="7.816406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18</v>
      </c>
      <c r="B2" t="s">
        <v>19</v>
      </c>
      <c r="C2" t="s">
        <v>35</v>
      </c>
      <c r="D2">
        <v>0.9</v>
      </c>
      <c r="E2" t="s">
        <v>21</v>
      </c>
      <c r="F2" t="s">
        <v>22</v>
      </c>
      <c r="G2">
        <v>0.25</v>
      </c>
      <c r="H2">
        <v>7.4999999999999997E-2</v>
      </c>
      <c r="I2" s="7">
        <v>13310557.944496034</v>
      </c>
      <c r="J2" s="7">
        <v>-277822.82326337183</v>
      </c>
      <c r="K2" s="7">
        <v>-277822.82326337183</v>
      </c>
      <c r="L2" s="7">
        <v>0</v>
      </c>
      <c r="M2" t="s">
        <v>24</v>
      </c>
    </row>
    <row r="3" spans="1:13" x14ac:dyDescent="0.35">
      <c r="A3" t="s">
        <v>25</v>
      </c>
      <c r="B3" t="s">
        <v>26</v>
      </c>
      <c r="C3" t="s">
        <v>35</v>
      </c>
      <c r="D3">
        <v>0.9</v>
      </c>
      <c r="E3" t="s">
        <v>21</v>
      </c>
      <c r="F3" t="s">
        <v>22</v>
      </c>
      <c r="G3">
        <v>0.25</v>
      </c>
      <c r="H3">
        <v>7.4999999999999997E-2</v>
      </c>
      <c r="I3" s="7">
        <v>429675004.62283182</v>
      </c>
      <c r="J3" s="7">
        <v>66127559.524104349</v>
      </c>
      <c r="K3" s="7">
        <v>66197270.506763302</v>
      </c>
      <c r="L3" s="7">
        <v>2544996.4472961733</v>
      </c>
      <c r="M3" t="s">
        <v>24</v>
      </c>
    </row>
    <row r="4" spans="1:13" x14ac:dyDescent="0.35">
      <c r="A4" t="s">
        <v>27</v>
      </c>
      <c r="B4" t="s">
        <v>26</v>
      </c>
      <c r="C4" t="s">
        <v>35</v>
      </c>
      <c r="D4">
        <v>0.9</v>
      </c>
      <c r="E4" t="s">
        <v>21</v>
      </c>
      <c r="F4" t="s">
        <v>22</v>
      </c>
      <c r="G4">
        <v>0.25</v>
      </c>
      <c r="H4">
        <v>7.4999999999999997E-2</v>
      </c>
      <c r="I4" s="7">
        <v>429675004.62283182</v>
      </c>
      <c r="J4" s="7">
        <v>66197270.506763309</v>
      </c>
      <c r="K4" s="7">
        <v>66197270.506763302</v>
      </c>
      <c r="L4" s="7">
        <v>2544996.4472961733</v>
      </c>
      <c r="M4" t="s">
        <v>24</v>
      </c>
    </row>
    <row r="5" spans="1:13" x14ac:dyDescent="0.35">
      <c r="A5" t="s">
        <v>28</v>
      </c>
      <c r="B5" t="s">
        <v>26</v>
      </c>
      <c r="C5" t="s">
        <v>35</v>
      </c>
      <c r="D5">
        <v>0.9</v>
      </c>
      <c r="E5" t="s">
        <v>21</v>
      </c>
      <c r="F5" t="s">
        <v>22</v>
      </c>
      <c r="G5">
        <v>0.25</v>
      </c>
      <c r="H5">
        <v>7.4999999999999997E-2</v>
      </c>
      <c r="I5" s="7">
        <v>429675004.62283182</v>
      </c>
      <c r="J5" s="7">
        <v>-69710.982658959532</v>
      </c>
      <c r="K5" s="7">
        <v>0</v>
      </c>
      <c r="L5" s="7">
        <v>0</v>
      </c>
      <c r="M5" t="s">
        <v>24</v>
      </c>
    </row>
    <row r="6" spans="1:13" x14ac:dyDescent="0.35">
      <c r="A6" t="s">
        <v>29</v>
      </c>
      <c r="B6" t="s">
        <v>30</v>
      </c>
      <c r="C6" t="s">
        <v>35</v>
      </c>
      <c r="D6">
        <v>0.9</v>
      </c>
      <c r="E6" t="s">
        <v>21</v>
      </c>
      <c r="F6" t="s">
        <v>22</v>
      </c>
      <c r="G6">
        <v>0.25</v>
      </c>
      <c r="H6">
        <v>7.4999999999999997E-2</v>
      </c>
      <c r="I6" s="7">
        <v>69624739.861573145</v>
      </c>
      <c r="J6" s="7">
        <v>30287227.322834641</v>
      </c>
      <c r="K6" s="7">
        <v>0</v>
      </c>
      <c r="L6" s="7">
        <v>0</v>
      </c>
      <c r="M6" t="s">
        <v>24</v>
      </c>
    </row>
    <row r="7" spans="1:13" x14ac:dyDescent="0.35">
      <c r="A7" t="s">
        <v>31</v>
      </c>
      <c r="B7" t="s">
        <v>32</v>
      </c>
      <c r="C7" t="s">
        <v>35</v>
      </c>
      <c r="D7">
        <v>0.9</v>
      </c>
      <c r="E7" t="s">
        <v>21</v>
      </c>
      <c r="F7" t="s">
        <v>22</v>
      </c>
      <c r="G7">
        <v>0.25</v>
      </c>
      <c r="H7">
        <v>7.4999999999999997E-2</v>
      </c>
      <c r="I7" s="7">
        <v>15011051.950461766</v>
      </c>
      <c r="J7" s="7">
        <v>1775406.8931329243</v>
      </c>
      <c r="K7" s="7">
        <v>1059119.4164400001</v>
      </c>
      <c r="L7" s="7">
        <v>716287.47669292428</v>
      </c>
      <c r="M7" t="s">
        <v>24</v>
      </c>
    </row>
    <row r="8" spans="1:13" x14ac:dyDescent="0.35">
      <c r="A8" t="s">
        <v>33</v>
      </c>
      <c r="B8" t="s">
        <v>34</v>
      </c>
      <c r="C8" t="s">
        <v>35</v>
      </c>
      <c r="D8">
        <v>0.9</v>
      </c>
      <c r="E8" t="s">
        <v>21</v>
      </c>
      <c r="F8" t="s">
        <v>22</v>
      </c>
      <c r="G8">
        <v>0.25</v>
      </c>
      <c r="H8">
        <v>7.4999999999999997E-2</v>
      </c>
      <c r="I8" s="7">
        <v>483367821.28945422</v>
      </c>
      <c r="J8" s="7">
        <v>152426251.58000517</v>
      </c>
      <c r="K8" s="7">
        <v>51603856</v>
      </c>
      <c r="L8" s="7">
        <v>100822395.58000517</v>
      </c>
      <c r="M8"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workbookViewId="0"/>
  </sheetViews>
  <sheetFormatPr defaultRowHeight="14.5" x14ac:dyDescent="0.35"/>
  <cols>
    <col min="1" max="1" width="24.08984375" bestFit="1" customWidth="1"/>
    <col min="2" max="2" width="10.453125" bestFit="1" customWidth="1"/>
    <col min="3" max="3" width="9.6328125" bestFit="1" customWidth="1"/>
    <col min="4" max="4" width="11.7265625" bestFit="1" customWidth="1"/>
    <col min="5" max="6" width="13.453125" bestFit="1" customWidth="1"/>
    <col min="7" max="7" width="38.81640625" bestFit="1" customWidth="1"/>
    <col min="8" max="8" width="36.26953125" bestFit="1" customWidth="1"/>
    <col min="9" max="9" width="17" bestFit="1" customWidth="1"/>
    <col min="10" max="10" width="15.36328125" bestFit="1" customWidth="1"/>
    <col min="11" max="11" width="11.453125" bestFit="1" customWidth="1"/>
    <col min="12" max="12" width="19.453125" customWidth="1"/>
    <col min="13" max="13" width="7.81640625" customWidth="1"/>
  </cols>
  <sheetData>
    <row r="1" spans="1:11" x14ac:dyDescent="0.35">
      <c r="A1" t="s">
        <v>0</v>
      </c>
      <c r="B1" t="s">
        <v>1</v>
      </c>
      <c r="C1" t="s">
        <v>2</v>
      </c>
      <c r="D1" t="s">
        <v>3</v>
      </c>
      <c r="E1" t="s">
        <v>4</v>
      </c>
      <c r="F1" t="s">
        <v>5</v>
      </c>
      <c r="G1" t="s">
        <v>6</v>
      </c>
      <c r="H1" t="s">
        <v>7</v>
      </c>
      <c r="I1" t="s">
        <v>8</v>
      </c>
      <c r="J1" t="s">
        <v>9</v>
      </c>
      <c r="K1" t="s">
        <v>12</v>
      </c>
    </row>
    <row r="2" spans="1:11" x14ac:dyDescent="0.35">
      <c r="A2" t="s">
        <v>18</v>
      </c>
      <c r="B2" t="s">
        <v>19</v>
      </c>
      <c r="C2" t="s">
        <v>36</v>
      </c>
      <c r="D2">
        <v>0.9</v>
      </c>
      <c r="E2" t="s">
        <v>21</v>
      </c>
      <c r="F2" t="s">
        <v>22</v>
      </c>
      <c r="G2">
        <v>0.05</v>
      </c>
      <c r="H2">
        <v>0.3</v>
      </c>
      <c r="I2" s="7">
        <v>1312545.5819580001</v>
      </c>
      <c r="J2" s="7">
        <v>460000</v>
      </c>
      <c r="K2" t="s">
        <v>24</v>
      </c>
    </row>
    <row r="3" spans="1:11" x14ac:dyDescent="0.35">
      <c r="A3" t="s">
        <v>25</v>
      </c>
      <c r="B3" t="s">
        <v>26</v>
      </c>
      <c r="C3" t="s">
        <v>36</v>
      </c>
      <c r="D3">
        <v>0.9</v>
      </c>
      <c r="E3" t="s">
        <v>21</v>
      </c>
      <c r="F3" t="s">
        <v>22</v>
      </c>
      <c r="G3">
        <v>0.05</v>
      </c>
      <c r="H3">
        <v>0.3</v>
      </c>
      <c r="I3" s="7">
        <v>9560366.4216132015</v>
      </c>
      <c r="J3" s="7">
        <v>460000</v>
      </c>
      <c r="K3" t="s">
        <v>24</v>
      </c>
    </row>
    <row r="4" spans="1:11" x14ac:dyDescent="0.35">
      <c r="A4" t="s">
        <v>27</v>
      </c>
      <c r="B4" t="s">
        <v>26</v>
      </c>
      <c r="C4" t="s">
        <v>36</v>
      </c>
      <c r="D4">
        <v>0.9</v>
      </c>
      <c r="E4" t="s">
        <v>21</v>
      </c>
      <c r="F4" t="s">
        <v>22</v>
      </c>
      <c r="G4">
        <v>0.05</v>
      </c>
      <c r="H4">
        <v>0.3</v>
      </c>
      <c r="I4" s="7">
        <v>7402170.1191564007</v>
      </c>
      <c r="J4" s="7">
        <v>0</v>
      </c>
      <c r="K4" t="s">
        <v>24</v>
      </c>
    </row>
    <row r="5" spans="1:11" x14ac:dyDescent="0.35">
      <c r="A5" t="s">
        <v>28</v>
      </c>
      <c r="B5" t="s">
        <v>26</v>
      </c>
      <c r="C5" t="s">
        <v>36</v>
      </c>
      <c r="D5">
        <v>0.9</v>
      </c>
      <c r="E5" t="s">
        <v>21</v>
      </c>
      <c r="F5" t="s">
        <v>22</v>
      </c>
      <c r="G5">
        <v>0.05</v>
      </c>
      <c r="H5">
        <v>0.3</v>
      </c>
      <c r="I5" s="7">
        <v>300000</v>
      </c>
      <c r="J5" s="7">
        <v>0</v>
      </c>
      <c r="K5" t="s">
        <v>24</v>
      </c>
    </row>
    <row r="6" spans="1:11" x14ac:dyDescent="0.35">
      <c r="A6" t="s">
        <v>29</v>
      </c>
      <c r="B6" t="s">
        <v>30</v>
      </c>
      <c r="C6" t="s">
        <v>36</v>
      </c>
      <c r="D6">
        <v>0.9</v>
      </c>
      <c r="E6" t="s">
        <v>21</v>
      </c>
      <c r="F6" t="s">
        <v>22</v>
      </c>
      <c r="G6">
        <v>0.05</v>
      </c>
      <c r="H6">
        <v>0.3</v>
      </c>
      <c r="I6" s="7">
        <v>-796757.44844559929</v>
      </c>
      <c r="J6" s="7">
        <v>-500000</v>
      </c>
      <c r="K6" t="s">
        <v>24</v>
      </c>
    </row>
    <row r="7" spans="1:11" x14ac:dyDescent="0.35">
      <c r="A7" t="s">
        <v>31</v>
      </c>
      <c r="B7" t="s">
        <v>32</v>
      </c>
      <c r="C7" t="s">
        <v>36</v>
      </c>
      <c r="D7">
        <v>0.9</v>
      </c>
      <c r="E7" t="s">
        <v>21</v>
      </c>
      <c r="F7" t="s">
        <v>22</v>
      </c>
      <c r="G7">
        <v>0.05</v>
      </c>
      <c r="H7">
        <v>0.3</v>
      </c>
      <c r="I7" s="7">
        <v>-4943481.2317559971</v>
      </c>
      <c r="J7" s="7">
        <v>-920000</v>
      </c>
      <c r="K7" t="s">
        <v>24</v>
      </c>
    </row>
    <row r="8" spans="1:11" x14ac:dyDescent="0.35">
      <c r="A8" t="s">
        <v>33</v>
      </c>
      <c r="B8" t="s">
        <v>34</v>
      </c>
      <c r="C8" t="s">
        <v>36</v>
      </c>
      <c r="D8">
        <v>0.9</v>
      </c>
      <c r="E8" t="s">
        <v>21</v>
      </c>
      <c r="F8" t="s">
        <v>22</v>
      </c>
      <c r="G8">
        <v>0.05</v>
      </c>
      <c r="H8">
        <v>0.3</v>
      </c>
      <c r="I8" s="7">
        <v>24655245.148418102</v>
      </c>
      <c r="J8" s="7">
        <v>2416000</v>
      </c>
      <c r="K8" t="s">
        <v>24</v>
      </c>
    </row>
    <row r="9" spans="1:11" x14ac:dyDescent="0.35">
      <c r="A9" t="s">
        <v>37</v>
      </c>
      <c r="B9" t="s">
        <v>26</v>
      </c>
      <c r="C9" t="s">
        <v>36</v>
      </c>
      <c r="D9">
        <v>0.85</v>
      </c>
      <c r="E9" t="s">
        <v>21</v>
      </c>
      <c r="F9" t="s">
        <v>22</v>
      </c>
      <c r="H9">
        <v>0.35</v>
      </c>
      <c r="I9" s="7">
        <v>1858196.3024568001</v>
      </c>
      <c r="J9" s="7">
        <v>230000</v>
      </c>
      <c r="K9"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
  <sheetViews>
    <sheetView workbookViewId="0">
      <selection activeCell="G10" sqref="G10"/>
    </sheetView>
  </sheetViews>
  <sheetFormatPr defaultRowHeight="14.5" x14ac:dyDescent="0.35"/>
  <cols>
    <col min="1" max="1" width="14.81640625" customWidth="1"/>
    <col min="2" max="2" width="6.36328125" customWidth="1"/>
    <col min="3" max="3" width="11.81640625" customWidth="1"/>
    <col min="4" max="4" width="7.08984375" customWidth="1"/>
    <col min="5" max="5" width="8.1796875" customWidth="1"/>
    <col min="6" max="6" width="8.08984375" customWidth="1"/>
    <col min="7" max="7" width="24.7265625" customWidth="1"/>
    <col min="8" max="8" width="23" customWidth="1"/>
    <col min="9" max="9" width="11" customWidth="1"/>
    <col min="10" max="10" width="10.36328125" customWidth="1"/>
    <col min="11" max="11" width="7.81640625" bestFit="1" customWidth="1"/>
  </cols>
  <sheetData>
    <row r="1" spans="1:11" x14ac:dyDescent="0.35">
      <c r="A1" t="s">
        <v>0</v>
      </c>
      <c r="B1" t="s">
        <v>1</v>
      </c>
      <c r="C1" t="s">
        <v>2</v>
      </c>
      <c r="D1" t="s">
        <v>3</v>
      </c>
      <c r="E1" t="s">
        <v>4</v>
      </c>
      <c r="F1" t="s">
        <v>5</v>
      </c>
      <c r="G1" t="s">
        <v>6</v>
      </c>
      <c r="H1" t="s">
        <v>7</v>
      </c>
      <c r="I1" t="s">
        <v>8</v>
      </c>
      <c r="J1" t="s">
        <v>9</v>
      </c>
      <c r="K1" t="s">
        <v>12</v>
      </c>
    </row>
    <row r="2" spans="1:11" x14ac:dyDescent="0.35">
      <c r="A2" t="s">
        <v>18</v>
      </c>
      <c r="B2" t="s">
        <v>19</v>
      </c>
      <c r="C2" t="s">
        <v>38</v>
      </c>
      <c r="D2">
        <v>0.9</v>
      </c>
      <c r="E2" t="s">
        <v>21</v>
      </c>
      <c r="F2" t="s">
        <v>22</v>
      </c>
      <c r="G2">
        <v>0.05</v>
      </c>
      <c r="H2">
        <v>0.15</v>
      </c>
      <c r="I2" s="7">
        <v>0.26526168651282317</v>
      </c>
      <c r="J2" s="7">
        <v>0.33333333333333337</v>
      </c>
      <c r="K2" t="s">
        <v>24</v>
      </c>
    </row>
    <row r="3" spans="1:11" x14ac:dyDescent="0.35">
      <c r="A3" t="s">
        <v>25</v>
      </c>
      <c r="B3" t="s">
        <v>26</v>
      </c>
      <c r="C3" t="s">
        <v>38</v>
      </c>
      <c r="D3">
        <v>0.9</v>
      </c>
      <c r="E3" t="s">
        <v>21</v>
      </c>
      <c r="F3" t="s">
        <v>22</v>
      </c>
      <c r="G3">
        <v>0.05</v>
      </c>
      <c r="H3">
        <v>0.15</v>
      </c>
      <c r="I3" s="7">
        <v>0.26763070587924598</v>
      </c>
      <c r="J3" s="7">
        <v>9.2999999999999999E-2</v>
      </c>
      <c r="K3" t="s">
        <v>24</v>
      </c>
    </row>
    <row r="4" spans="1:11" x14ac:dyDescent="0.35">
      <c r="A4" t="s">
        <v>27</v>
      </c>
      <c r="B4" t="s">
        <v>26</v>
      </c>
      <c r="C4" t="s">
        <v>38</v>
      </c>
      <c r="D4">
        <v>0.9</v>
      </c>
      <c r="E4" t="s">
        <v>21</v>
      </c>
      <c r="F4" t="s">
        <v>22</v>
      </c>
      <c r="G4">
        <v>0.05</v>
      </c>
      <c r="H4">
        <v>0.15</v>
      </c>
      <c r="I4" s="7">
        <v>0.30079622800886785</v>
      </c>
      <c r="J4" s="7">
        <v>0</v>
      </c>
      <c r="K4" t="s">
        <v>24</v>
      </c>
    </row>
    <row r="5" spans="1:11" x14ac:dyDescent="0.35">
      <c r="A5" t="s">
        <v>28</v>
      </c>
      <c r="B5" t="s">
        <v>26</v>
      </c>
      <c r="C5" t="s">
        <v>38</v>
      </c>
      <c r="D5">
        <v>0.9</v>
      </c>
      <c r="E5" t="s">
        <v>21</v>
      </c>
      <c r="F5" t="s">
        <v>22</v>
      </c>
      <c r="G5">
        <v>0.05</v>
      </c>
      <c r="H5">
        <v>0.15</v>
      </c>
      <c r="I5" s="7">
        <v>0.125</v>
      </c>
      <c r="J5" s="7">
        <v>0</v>
      </c>
      <c r="K5" t="s">
        <v>24</v>
      </c>
    </row>
    <row r="6" spans="1:11" x14ac:dyDescent="0.35">
      <c r="A6" t="s">
        <v>29</v>
      </c>
      <c r="B6" t="s">
        <v>30</v>
      </c>
      <c r="C6" t="s">
        <v>38</v>
      </c>
      <c r="D6">
        <v>0.9</v>
      </c>
      <c r="E6" t="s">
        <v>21</v>
      </c>
      <c r="F6" t="s">
        <v>22</v>
      </c>
      <c r="G6">
        <v>0.05</v>
      </c>
      <c r="H6">
        <v>0.15</v>
      </c>
      <c r="I6" s="7">
        <v>-4.8250382398470439E-2</v>
      </c>
      <c r="J6" s="7">
        <v>-0.35699999999999998</v>
      </c>
      <c r="K6" t="s">
        <v>24</v>
      </c>
    </row>
    <row r="7" spans="1:11" x14ac:dyDescent="0.35">
      <c r="A7" t="s">
        <v>31</v>
      </c>
      <c r="B7" t="s">
        <v>32</v>
      </c>
      <c r="C7" t="s">
        <v>38</v>
      </c>
      <c r="D7">
        <v>0.9</v>
      </c>
      <c r="E7" t="s">
        <v>21</v>
      </c>
      <c r="F7" t="s">
        <v>22</v>
      </c>
      <c r="G7">
        <v>0.05</v>
      </c>
      <c r="H7">
        <v>0.15</v>
      </c>
      <c r="I7" s="7">
        <v>-0.15126961245409257</v>
      </c>
      <c r="J7" s="7">
        <v>-9.9000000000000005E-2</v>
      </c>
      <c r="K7" t="s">
        <v>24</v>
      </c>
    </row>
    <row r="8" spans="1:11" x14ac:dyDescent="0.35">
      <c r="A8" t="s">
        <v>33</v>
      </c>
      <c r="B8" t="s">
        <v>34</v>
      </c>
      <c r="C8" t="s">
        <v>38</v>
      </c>
      <c r="D8">
        <v>0.9</v>
      </c>
      <c r="E8" t="s">
        <v>21</v>
      </c>
      <c r="F8" t="s">
        <v>22</v>
      </c>
      <c r="G8">
        <v>0.05</v>
      </c>
      <c r="H8">
        <v>0.15</v>
      </c>
      <c r="I8" s="7">
        <v>0.25833276395663912</v>
      </c>
      <c r="J8" s="7">
        <v>0.13600000000000001</v>
      </c>
      <c r="K8" t="s">
        <v>24</v>
      </c>
    </row>
    <row r="9" spans="1:11" x14ac:dyDescent="0.35">
      <c r="A9" t="s">
        <v>37</v>
      </c>
      <c r="B9" t="s">
        <v>26</v>
      </c>
      <c r="C9" t="s">
        <v>38</v>
      </c>
      <c r="D9">
        <v>0.85</v>
      </c>
      <c r="E9" t="s">
        <v>21</v>
      </c>
      <c r="F9" t="s">
        <v>22</v>
      </c>
      <c r="G9">
        <v>0</v>
      </c>
      <c r="H9">
        <v>0.15</v>
      </c>
      <c r="I9" s="7">
        <v>0.21325129488097699</v>
      </c>
      <c r="J9" s="7">
        <v>0.125</v>
      </c>
      <c r="K9"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2"/>
  <sheetViews>
    <sheetView workbookViewId="0">
      <selection activeCell="L18" sqref="L18"/>
    </sheetView>
  </sheetViews>
  <sheetFormatPr defaultRowHeight="14.5" x14ac:dyDescent="0.35"/>
  <cols>
    <col min="1" max="1" width="19.6328125" bestFit="1" customWidth="1"/>
    <col min="2" max="2" width="8" bestFit="1" customWidth="1"/>
    <col min="3" max="3" width="16.90625" bestFit="1" customWidth="1"/>
    <col min="4" max="4" width="19.08984375" bestFit="1" customWidth="1"/>
    <col min="5" max="5" width="15.6328125" bestFit="1" customWidth="1"/>
    <col min="6" max="6" width="18" bestFit="1" customWidth="1"/>
    <col min="7" max="7" width="8.81640625" bestFit="1" customWidth="1"/>
    <col min="8" max="8" width="16.90625" style="1" bestFit="1" customWidth="1"/>
    <col min="9" max="9" width="19.08984375" style="1" bestFit="1" customWidth="1"/>
    <col min="10" max="10" width="15.6328125" style="1" bestFit="1" customWidth="1"/>
    <col min="11" max="11" width="18" style="1" bestFit="1" customWidth="1"/>
    <col min="12" max="12" width="13.1796875" style="1" bestFit="1" customWidth="1"/>
    <col min="13" max="13" width="7.81640625" bestFit="1" customWidth="1"/>
  </cols>
  <sheetData>
    <row r="1" spans="1:13" x14ac:dyDescent="0.35">
      <c r="A1" t="s">
        <v>0</v>
      </c>
      <c r="B1" t="s">
        <v>1</v>
      </c>
      <c r="C1" s="2" t="s">
        <v>13</v>
      </c>
      <c r="D1" s="2" t="s">
        <v>14</v>
      </c>
      <c r="E1" s="2" t="s">
        <v>15</v>
      </c>
      <c r="F1" s="2" t="s">
        <v>16</v>
      </c>
      <c r="G1" s="2" t="s">
        <v>17</v>
      </c>
      <c r="H1" s="2" t="s">
        <v>13</v>
      </c>
      <c r="I1" s="2" t="s">
        <v>14</v>
      </c>
      <c r="J1" s="2" t="s">
        <v>15</v>
      </c>
      <c r="K1" s="2" t="s">
        <v>16</v>
      </c>
      <c r="L1" s="3" t="s">
        <v>38</v>
      </c>
      <c r="M1" s="1" t="s">
        <v>12</v>
      </c>
    </row>
    <row r="2" spans="1:13" x14ac:dyDescent="0.35">
      <c r="A2" t="s">
        <v>39</v>
      </c>
      <c r="B2" t="s">
        <v>34</v>
      </c>
      <c r="C2" s="12">
        <f>H2/$G$2</f>
        <v>5.0001173328419837</v>
      </c>
      <c r="D2" s="12">
        <f t="shared" ref="D2:F2" si="0">I2/$G$2</f>
        <v>0.49975099363534509</v>
      </c>
      <c r="E2" s="12">
        <f t="shared" si="0"/>
        <v>1.2002715168876725</v>
      </c>
      <c r="F2" s="12">
        <f t="shared" si="0"/>
        <v>0</v>
      </c>
      <c r="G2">
        <v>1.1505730000000001</v>
      </c>
      <c r="H2" s="2">
        <v>5.7530000000000001</v>
      </c>
      <c r="I2" s="2">
        <v>0.57499999999999996</v>
      </c>
      <c r="J2" s="2">
        <v>1.381</v>
      </c>
      <c r="K2" s="2">
        <v>0</v>
      </c>
      <c r="L2" s="10">
        <v>0.24</v>
      </c>
      <c r="M2" t="s">
        <v>24</v>
      </c>
    </row>
    <row r="3" spans="1:13" x14ac:dyDescent="0.35">
      <c r="A3" t="s">
        <v>40</v>
      </c>
      <c r="B3" t="s">
        <v>34</v>
      </c>
      <c r="C3" s="12">
        <f t="shared" ref="C3:C22" si="1">H3/$G$2</f>
        <v>1.0003711194335343</v>
      </c>
      <c r="D3" s="12">
        <f t="shared" ref="D3:D22" si="2">I3/$G$2</f>
        <v>0.29985059618120707</v>
      </c>
      <c r="E3" s="12">
        <f t="shared" ref="E3:E22" si="3">J3/$G$2</f>
        <v>0.59970119236241415</v>
      </c>
      <c r="F3" s="12">
        <f t="shared" ref="F3:F22" si="4">K3/$G$2</f>
        <v>0.29985059618120707</v>
      </c>
      <c r="G3">
        <v>1.1505730000000001</v>
      </c>
      <c r="H3" s="2">
        <v>1.151</v>
      </c>
      <c r="I3" s="2">
        <v>0.34499999999999997</v>
      </c>
      <c r="J3" s="2">
        <v>0.69</v>
      </c>
      <c r="K3" s="2">
        <v>0.34499999999999997</v>
      </c>
      <c r="L3" s="10">
        <v>0.6</v>
      </c>
      <c r="M3" t="s">
        <v>24</v>
      </c>
    </row>
    <row r="4" spans="1:13" x14ac:dyDescent="0.35">
      <c r="A4" t="s">
        <v>41</v>
      </c>
      <c r="B4" t="s">
        <v>34</v>
      </c>
      <c r="C4" s="12">
        <f t="shared" si="1"/>
        <v>6.700139843365001</v>
      </c>
      <c r="D4" s="12">
        <f t="shared" si="2"/>
        <v>0.69965139108948327</v>
      </c>
      <c r="E4" s="12">
        <f t="shared" si="3"/>
        <v>2.0998233054312938</v>
      </c>
      <c r="F4" s="12">
        <f t="shared" si="4"/>
        <v>0.59970119236241415</v>
      </c>
      <c r="G4">
        <v>1.1505730000000001</v>
      </c>
      <c r="H4" s="2">
        <v>7.7089999999999996</v>
      </c>
      <c r="I4" s="2">
        <v>0.80500000000000005</v>
      </c>
      <c r="J4" s="2">
        <v>2.4159999999999999</v>
      </c>
      <c r="K4" s="2">
        <v>0.69</v>
      </c>
      <c r="L4" s="10">
        <v>0.313</v>
      </c>
      <c r="M4" t="s">
        <v>24</v>
      </c>
    </row>
    <row r="5" spans="1:13" x14ac:dyDescent="0.35">
      <c r="A5" t="s">
        <v>43</v>
      </c>
      <c r="B5" t="s">
        <v>34</v>
      </c>
      <c r="C5" s="12">
        <f t="shared" si="1"/>
        <v>0</v>
      </c>
      <c r="D5" s="12">
        <f t="shared" si="2"/>
        <v>0</v>
      </c>
      <c r="E5" s="12">
        <f t="shared" si="3"/>
        <v>0</v>
      </c>
      <c r="F5" s="12">
        <f t="shared" si="4"/>
        <v>0</v>
      </c>
      <c r="G5">
        <v>1.1505730000000001</v>
      </c>
      <c r="H5" s="2">
        <v>0</v>
      </c>
      <c r="I5" s="2">
        <v>0</v>
      </c>
      <c r="J5" s="2">
        <v>0</v>
      </c>
      <c r="K5" s="2">
        <v>0</v>
      </c>
      <c r="L5" s="3">
        <v>0</v>
      </c>
      <c r="M5" t="s">
        <v>24</v>
      </c>
    </row>
    <row r="6" spans="1:13" x14ac:dyDescent="0.35">
      <c r="A6" t="s">
        <v>42</v>
      </c>
      <c r="B6" t="s">
        <v>34</v>
      </c>
      <c r="C6" s="12">
        <f t="shared" si="1"/>
        <v>2.2997237028854318</v>
      </c>
      <c r="D6" s="12">
        <f t="shared" si="2"/>
        <v>-9.9950198727069034E-2</v>
      </c>
      <c r="E6" s="12">
        <f t="shared" si="3"/>
        <v>-1.3002217156147415</v>
      </c>
      <c r="F6" s="12">
        <f t="shared" si="4"/>
        <v>-9.9950198727069034E-2</v>
      </c>
      <c r="G6">
        <v>1.1505730000000001</v>
      </c>
      <c r="H6" s="2">
        <v>2.6459999999999999</v>
      </c>
      <c r="I6" s="2">
        <v>-0.115</v>
      </c>
      <c r="J6" s="2">
        <v>-1.496</v>
      </c>
      <c r="K6" s="2">
        <v>-0.115</v>
      </c>
      <c r="L6" s="10">
        <v>-0.56499999999999995</v>
      </c>
      <c r="M6" t="s">
        <v>24</v>
      </c>
    </row>
    <row r="7" spans="1:13" x14ac:dyDescent="0.35">
      <c r="A7" t="s">
        <v>44</v>
      </c>
      <c r="B7" t="s">
        <v>34</v>
      </c>
      <c r="C7" s="12">
        <f t="shared" si="1"/>
        <v>0.39980079490827614</v>
      </c>
      <c r="D7" s="12">
        <f t="shared" si="2"/>
        <v>-0.19990039745413807</v>
      </c>
      <c r="E7" s="12">
        <f t="shared" si="3"/>
        <v>-0.49975099363534509</v>
      </c>
      <c r="F7" s="12">
        <f t="shared" si="4"/>
        <v>-9.9950198727069034E-2</v>
      </c>
      <c r="G7">
        <v>1.1505730000000001</v>
      </c>
      <c r="H7" s="2">
        <v>0.46</v>
      </c>
      <c r="I7" s="2">
        <v>-0.23</v>
      </c>
      <c r="J7" s="2">
        <v>-0.57499999999999996</v>
      </c>
      <c r="K7" s="2">
        <v>-0.115</v>
      </c>
      <c r="L7" s="10">
        <v>-1.25</v>
      </c>
      <c r="M7" t="s">
        <v>24</v>
      </c>
    </row>
    <row r="8" spans="1:13" x14ac:dyDescent="0.35">
      <c r="A8" t="s">
        <v>45</v>
      </c>
      <c r="B8" t="s">
        <v>34</v>
      </c>
      <c r="C8" s="12">
        <f t="shared" si="1"/>
        <v>0</v>
      </c>
      <c r="D8" s="12">
        <f t="shared" si="2"/>
        <v>0</v>
      </c>
      <c r="E8" s="12">
        <f t="shared" si="3"/>
        <v>0</v>
      </c>
      <c r="F8" s="12">
        <f t="shared" si="4"/>
        <v>9.9950198727069034E-2</v>
      </c>
      <c r="G8">
        <v>1.1505730000000001</v>
      </c>
      <c r="H8" s="2">
        <v>0</v>
      </c>
      <c r="I8" s="2">
        <v>0</v>
      </c>
      <c r="J8" s="2">
        <v>0</v>
      </c>
      <c r="K8" s="2">
        <v>0.115</v>
      </c>
      <c r="L8" s="3">
        <v>0</v>
      </c>
      <c r="M8" t="s">
        <v>24</v>
      </c>
    </row>
    <row r="9" spans="1:13" x14ac:dyDescent="0.35">
      <c r="A9" t="s">
        <v>27</v>
      </c>
      <c r="B9" t="s">
        <v>26</v>
      </c>
      <c r="C9" s="12">
        <f t="shared" si="1"/>
        <v>4.2995968095896568</v>
      </c>
      <c r="D9" s="12">
        <f t="shared" si="2"/>
        <v>1.8999229079771556</v>
      </c>
      <c r="E9" s="12">
        <f t="shared" si="3"/>
        <v>0.39980079490827614</v>
      </c>
      <c r="F9" s="12">
        <f t="shared" si="4"/>
        <v>1.7000225105230176</v>
      </c>
      <c r="G9">
        <v>1.1505730000000001</v>
      </c>
      <c r="H9" s="2">
        <v>4.9470000000000001</v>
      </c>
      <c r="I9" s="2">
        <v>2.1859999999999999</v>
      </c>
      <c r="J9" s="2">
        <v>0.46</v>
      </c>
      <c r="K9" s="2">
        <v>1.956</v>
      </c>
      <c r="L9" s="10">
        <v>0</v>
      </c>
      <c r="M9" t="s">
        <v>24</v>
      </c>
    </row>
    <row r="10" spans="1:13" x14ac:dyDescent="0.35">
      <c r="A10" t="s">
        <v>37</v>
      </c>
      <c r="B10" t="s">
        <v>26</v>
      </c>
      <c r="C10" s="12">
        <f t="shared" si="1"/>
        <v>1.6000723117959486</v>
      </c>
      <c r="D10" s="12">
        <f t="shared" si="2"/>
        <v>0</v>
      </c>
      <c r="E10" s="12">
        <f t="shared" si="3"/>
        <v>0.19990039745413807</v>
      </c>
      <c r="F10" s="12">
        <f t="shared" si="4"/>
        <v>9.9950198727069034E-2</v>
      </c>
      <c r="G10">
        <v>1.1505730000000001</v>
      </c>
      <c r="H10" s="2">
        <v>1.841</v>
      </c>
      <c r="I10" s="2">
        <v>0</v>
      </c>
      <c r="J10" s="2">
        <v>0.23</v>
      </c>
      <c r="K10" s="2">
        <v>0.115</v>
      </c>
      <c r="L10" s="10">
        <v>0.125</v>
      </c>
      <c r="M10" t="s">
        <v>24</v>
      </c>
    </row>
    <row r="11" spans="1:13" x14ac:dyDescent="0.35">
      <c r="A11" t="s">
        <v>128</v>
      </c>
      <c r="B11" t="s">
        <v>26</v>
      </c>
      <c r="C11" s="12">
        <f t="shared" si="1"/>
        <v>7.3997912344544838</v>
      </c>
      <c r="D11" s="12">
        <f t="shared" si="2"/>
        <v>7.3997912344544838</v>
      </c>
      <c r="E11" s="12">
        <f t="shared" si="3"/>
        <v>1.9998731067042248</v>
      </c>
      <c r="F11" s="12">
        <f t="shared" si="4"/>
        <v>1.9998731067042248</v>
      </c>
      <c r="G11">
        <v>1.1505730000000001</v>
      </c>
      <c r="H11" s="2">
        <v>8.5139999999999993</v>
      </c>
      <c r="I11" s="2">
        <v>8.5139999999999993</v>
      </c>
      <c r="J11" s="2">
        <v>2.3010000000000002</v>
      </c>
      <c r="K11" s="2">
        <v>2.3010000000000002</v>
      </c>
      <c r="L11" s="10">
        <v>0.27</v>
      </c>
      <c r="M11" t="s">
        <v>24</v>
      </c>
    </row>
    <row r="12" spans="1:13" x14ac:dyDescent="0.35">
      <c r="A12" t="s">
        <v>18</v>
      </c>
      <c r="B12" t="s">
        <v>19</v>
      </c>
      <c r="C12" s="12">
        <f t="shared" si="1"/>
        <v>1.2002715168876725</v>
      </c>
      <c r="D12" s="12">
        <f t="shared" si="2"/>
        <v>-0.19990039745413807</v>
      </c>
      <c r="E12" s="12">
        <f t="shared" si="3"/>
        <v>0.39980079490827614</v>
      </c>
      <c r="F12" s="12">
        <f t="shared" si="4"/>
        <v>-0.19990039745413807</v>
      </c>
      <c r="G12">
        <v>1.1505730000000001</v>
      </c>
      <c r="H12" s="2">
        <v>1.381</v>
      </c>
      <c r="I12" s="2">
        <v>-0.23</v>
      </c>
      <c r="J12" s="2">
        <v>0.46</v>
      </c>
      <c r="K12" s="2">
        <v>-0.23</v>
      </c>
      <c r="L12" s="10">
        <v>0.33300000000000002</v>
      </c>
      <c r="M12" t="s">
        <v>24</v>
      </c>
    </row>
    <row r="13" spans="1:13" x14ac:dyDescent="0.35">
      <c r="A13" t="s">
        <v>129</v>
      </c>
      <c r="B13" t="s">
        <v>19</v>
      </c>
      <c r="C13" s="12">
        <f t="shared" si="1"/>
        <v>0</v>
      </c>
      <c r="D13" s="12">
        <f t="shared" si="2"/>
        <v>0</v>
      </c>
      <c r="E13" s="12">
        <f t="shared" si="3"/>
        <v>-0.19990039745413807</v>
      </c>
      <c r="F13" s="12">
        <f t="shared" si="4"/>
        <v>9.9950198727069034E-2</v>
      </c>
      <c r="G13">
        <v>1.1505730000000001</v>
      </c>
      <c r="H13" s="2">
        <v>0</v>
      </c>
      <c r="I13" s="2">
        <v>0</v>
      </c>
      <c r="J13" s="2">
        <v>-0.23</v>
      </c>
      <c r="K13" s="2">
        <v>0.115</v>
      </c>
      <c r="L13" s="3">
        <v>0</v>
      </c>
      <c r="M13" t="s">
        <v>24</v>
      </c>
    </row>
    <row r="14" spans="1:13" x14ac:dyDescent="0.35">
      <c r="A14" t="s">
        <v>130</v>
      </c>
      <c r="B14" t="s">
        <v>131</v>
      </c>
      <c r="C14" s="12">
        <f t="shared" si="1"/>
        <v>7.1998908370003472</v>
      </c>
      <c r="D14" s="12">
        <f t="shared" si="2"/>
        <v>-3.4999952197731043</v>
      </c>
      <c r="E14" s="12">
        <f t="shared" si="3"/>
        <v>2.7003936299565523</v>
      </c>
      <c r="F14" s="12">
        <f t="shared" si="4"/>
        <v>-2.8003438286836211</v>
      </c>
      <c r="G14">
        <v>1.1505730000000001</v>
      </c>
      <c r="H14" s="2">
        <v>8.2840000000000007</v>
      </c>
      <c r="I14" s="2">
        <v>-4.0270000000000001</v>
      </c>
      <c r="J14" s="2">
        <v>3.1070000000000002</v>
      </c>
      <c r="K14" s="2">
        <v>-3.222</v>
      </c>
      <c r="L14" s="10">
        <v>0.375</v>
      </c>
      <c r="M14" t="s">
        <v>24</v>
      </c>
    </row>
    <row r="15" spans="1:13" x14ac:dyDescent="0.35">
      <c r="A15" t="s">
        <v>132</v>
      </c>
      <c r="B15" t="s">
        <v>19</v>
      </c>
      <c r="C15" s="12">
        <f t="shared" si="1"/>
        <v>12.699759163477676</v>
      </c>
      <c r="D15" s="12">
        <f t="shared" si="2"/>
        <v>-0.19990039745413807</v>
      </c>
      <c r="E15" s="12">
        <f t="shared" si="3"/>
        <v>5.3999181277502597</v>
      </c>
      <c r="F15" s="12">
        <f t="shared" si="4"/>
        <v>0.49975099363534509</v>
      </c>
      <c r="G15">
        <v>1.1505730000000001</v>
      </c>
      <c r="H15" s="1">
        <v>14.612</v>
      </c>
      <c r="I15" s="1">
        <v>-0.23</v>
      </c>
      <c r="J15" s="1">
        <v>6.2130000000000001</v>
      </c>
      <c r="K15" s="1">
        <v>0.57499999999999996</v>
      </c>
      <c r="L15" s="11">
        <v>0.42499999999999999</v>
      </c>
      <c r="M15" t="s">
        <v>140</v>
      </c>
    </row>
    <row r="16" spans="1:13" x14ac:dyDescent="0.35">
      <c r="A16" t="s">
        <v>133</v>
      </c>
      <c r="B16" t="s">
        <v>19</v>
      </c>
      <c r="C16" s="12">
        <f t="shared" si="1"/>
        <v>2.399673901612501</v>
      </c>
      <c r="D16" s="12">
        <f t="shared" si="2"/>
        <v>-9.9950198727069034E-2</v>
      </c>
      <c r="E16" s="12">
        <f t="shared" si="3"/>
        <v>0.69965139108948327</v>
      </c>
      <c r="F16" s="12">
        <f t="shared" si="4"/>
        <v>-9.9950198727069034E-2</v>
      </c>
      <c r="G16">
        <v>1.1505730000000001</v>
      </c>
      <c r="H16" s="1">
        <v>2.7610000000000001</v>
      </c>
      <c r="I16" s="1">
        <v>-0.115</v>
      </c>
      <c r="J16" s="1">
        <v>0.80500000000000005</v>
      </c>
      <c r="K16" s="1">
        <v>-0.115</v>
      </c>
      <c r="L16" s="11">
        <v>0.29199999999999998</v>
      </c>
      <c r="M16" t="s">
        <v>141</v>
      </c>
    </row>
    <row r="17" spans="1:13" x14ac:dyDescent="0.35">
      <c r="A17" t="s">
        <v>31</v>
      </c>
      <c r="B17" t="s">
        <v>32</v>
      </c>
      <c r="C17" s="12">
        <f t="shared" si="1"/>
        <v>8.1003117577068124</v>
      </c>
      <c r="D17" s="12">
        <f t="shared" si="2"/>
        <v>0.59970119236241415</v>
      </c>
      <c r="E17" s="12">
        <f t="shared" si="3"/>
        <v>-0.79960158981655227</v>
      </c>
      <c r="F17" s="12">
        <f t="shared" si="4"/>
        <v>1.0003711194335343</v>
      </c>
      <c r="G17">
        <v>1.1505730000000001</v>
      </c>
      <c r="H17" s="1">
        <v>9.32</v>
      </c>
      <c r="I17" s="1">
        <v>0.69</v>
      </c>
      <c r="J17" s="1">
        <v>-0.92</v>
      </c>
      <c r="K17" s="1">
        <v>1.151</v>
      </c>
      <c r="L17" s="11">
        <v>-9.9000000000000005E-2</v>
      </c>
      <c r="M17" t="s">
        <v>142</v>
      </c>
    </row>
    <row r="18" spans="1:13" x14ac:dyDescent="0.35">
      <c r="A18" t="s">
        <v>134</v>
      </c>
      <c r="B18" t="s">
        <v>135</v>
      </c>
      <c r="C18" s="12">
        <f t="shared" si="1"/>
        <v>2.0998233054312938</v>
      </c>
      <c r="D18" s="12">
        <f t="shared" si="2"/>
        <v>0</v>
      </c>
      <c r="E18" s="12">
        <f t="shared" si="3"/>
        <v>0.59970119236241415</v>
      </c>
      <c r="F18" s="12">
        <f t="shared" si="4"/>
        <v>0.19990039745413807</v>
      </c>
      <c r="G18">
        <v>1.1505730000000001</v>
      </c>
      <c r="H18" s="1">
        <v>2.4159999999999999</v>
      </c>
      <c r="I18" s="1">
        <v>0</v>
      </c>
      <c r="J18" s="1">
        <v>0.69</v>
      </c>
      <c r="K18" s="1">
        <v>0.23</v>
      </c>
      <c r="L18" s="11">
        <v>0.28599999999999998</v>
      </c>
      <c r="M18" t="s">
        <v>143</v>
      </c>
    </row>
    <row r="19" spans="1:13" x14ac:dyDescent="0.35">
      <c r="A19" t="s">
        <v>29</v>
      </c>
      <c r="B19" t="s">
        <v>30</v>
      </c>
      <c r="C19" s="12">
        <f t="shared" si="1"/>
        <v>1.4001719143418105</v>
      </c>
      <c r="D19" s="12">
        <f t="shared" si="2"/>
        <v>-0.69965139108948327</v>
      </c>
      <c r="E19" s="12">
        <f t="shared" si="3"/>
        <v>-0.49975099363534509</v>
      </c>
      <c r="F19" s="12">
        <f t="shared" si="4"/>
        <v>0.79960158981655227</v>
      </c>
      <c r="G19">
        <v>1.1505730000000001</v>
      </c>
      <c r="H19" s="1">
        <v>1.611</v>
      </c>
      <c r="I19" s="1">
        <v>-0.80500000000000005</v>
      </c>
      <c r="J19" s="1">
        <v>-0.57499999999999996</v>
      </c>
      <c r="K19" s="1">
        <v>0.92</v>
      </c>
      <c r="L19" s="11">
        <v>-0.35699999999999998</v>
      </c>
      <c r="M19" t="s">
        <v>144</v>
      </c>
    </row>
    <row r="20" spans="1:13" x14ac:dyDescent="0.35">
      <c r="A20" t="s">
        <v>136</v>
      </c>
      <c r="B20" t="s">
        <v>137</v>
      </c>
      <c r="C20" s="12">
        <f t="shared" si="1"/>
        <v>7.2998410357274146</v>
      </c>
      <c r="D20" s="12">
        <f t="shared" si="2"/>
        <v>-0.39980079490827614</v>
      </c>
      <c r="E20" s="12">
        <f t="shared" si="3"/>
        <v>9.9950198727069034E-2</v>
      </c>
      <c r="F20" s="12">
        <f t="shared" si="4"/>
        <v>-0.29985059618120707</v>
      </c>
      <c r="G20">
        <v>1.1505730000000001</v>
      </c>
      <c r="H20" s="1">
        <v>8.3989999999999991</v>
      </c>
      <c r="I20" s="1">
        <v>-0.46</v>
      </c>
      <c r="J20" s="1">
        <v>0.115</v>
      </c>
      <c r="K20" s="1">
        <v>-0.34499999999999997</v>
      </c>
      <c r="L20" s="11">
        <v>1.4E-2</v>
      </c>
      <c r="M20" t="s">
        <v>145</v>
      </c>
    </row>
    <row r="21" spans="1:13" x14ac:dyDescent="0.35">
      <c r="A21" t="s">
        <v>138</v>
      </c>
      <c r="B21" t="s">
        <v>23</v>
      </c>
      <c r="C21" s="12">
        <f t="shared" si="1"/>
        <v>1.7999727092500868</v>
      </c>
      <c r="D21" s="12">
        <f t="shared" si="2"/>
        <v>2.0998233054312938</v>
      </c>
      <c r="E21" s="12">
        <f t="shared" si="3"/>
        <v>-0.39980079490827614</v>
      </c>
      <c r="F21" s="12">
        <f t="shared" si="4"/>
        <v>1.3002217156147415</v>
      </c>
      <c r="G21">
        <v>1.1505730000000001</v>
      </c>
      <c r="H21" s="1">
        <v>2.0710000000000002</v>
      </c>
      <c r="I21" s="1">
        <v>2.4159999999999999</v>
      </c>
      <c r="J21" s="1">
        <v>-0.46</v>
      </c>
      <c r="K21" s="1">
        <v>1.496</v>
      </c>
      <c r="L21" s="11">
        <v>-0.222</v>
      </c>
      <c r="M21" t="s">
        <v>146</v>
      </c>
    </row>
    <row r="22" spans="1:13" x14ac:dyDescent="0.35">
      <c r="A22" t="s">
        <v>139</v>
      </c>
      <c r="B22" t="s">
        <v>23</v>
      </c>
      <c r="C22" s="12">
        <f t="shared" si="1"/>
        <v>13.400279686730002</v>
      </c>
      <c r="D22" s="12">
        <f t="shared" si="2"/>
        <v>1.9998731067042248</v>
      </c>
      <c r="E22" s="12">
        <f t="shared" si="3"/>
        <v>11.099686851681728</v>
      </c>
      <c r="F22" s="12">
        <f t="shared" si="4"/>
        <v>1.8999229079771556</v>
      </c>
      <c r="G22">
        <v>1.1505730000000001</v>
      </c>
      <c r="H22" s="1">
        <v>15.417999999999999</v>
      </c>
      <c r="I22" s="1">
        <v>2.3010000000000002</v>
      </c>
      <c r="J22" s="1">
        <v>12.771000000000001</v>
      </c>
      <c r="K22" s="1">
        <v>2.1859999999999999</v>
      </c>
      <c r="L22" s="11">
        <v>0.82799999999999996</v>
      </c>
      <c r="M22" t="s">
        <v>147</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336F2-1926-48C0-8111-EBCA9707CCB5}">
  <dimension ref="A1:E45"/>
  <sheetViews>
    <sheetView topLeftCell="A22" workbookViewId="0">
      <selection activeCell="D46" sqref="D46"/>
    </sheetView>
  </sheetViews>
  <sheetFormatPr defaultRowHeight="14.5" x14ac:dyDescent="0.35"/>
  <cols>
    <col min="1" max="1" width="18.81640625" bestFit="1" customWidth="1"/>
    <col min="3" max="3" width="156.26953125" style="4" customWidth="1"/>
  </cols>
  <sheetData>
    <row r="1" spans="1:5" x14ac:dyDescent="0.35">
      <c r="A1" t="s">
        <v>0</v>
      </c>
      <c r="B1" t="s">
        <v>1</v>
      </c>
      <c r="C1" s="4" t="s">
        <v>2</v>
      </c>
      <c r="D1" t="s">
        <v>6</v>
      </c>
      <c r="E1" t="s">
        <v>7</v>
      </c>
    </row>
    <row r="2" spans="1:5" x14ac:dyDescent="0.35">
      <c r="A2" t="s">
        <v>84</v>
      </c>
      <c r="B2" s="9" t="s">
        <v>19</v>
      </c>
      <c r="C2" s="4" t="s">
        <v>85</v>
      </c>
      <c r="D2">
        <v>0.25</v>
      </c>
      <c r="E2">
        <v>0.25</v>
      </c>
    </row>
    <row r="3" spans="1:5" x14ac:dyDescent="0.35">
      <c r="A3" t="s">
        <v>84</v>
      </c>
      <c r="B3" s="9" t="s">
        <v>19</v>
      </c>
      <c r="C3" s="4" t="s">
        <v>86</v>
      </c>
      <c r="D3">
        <v>0.25</v>
      </c>
      <c r="E3">
        <v>0.25</v>
      </c>
    </row>
    <row r="4" spans="1:5" x14ac:dyDescent="0.35">
      <c r="A4" t="s">
        <v>84</v>
      </c>
      <c r="B4" s="9" t="s">
        <v>19</v>
      </c>
      <c r="C4" s="4" t="s">
        <v>87</v>
      </c>
      <c r="D4">
        <v>0.25</v>
      </c>
      <c r="E4">
        <v>0.25</v>
      </c>
    </row>
    <row r="5" spans="1:5" x14ac:dyDescent="0.35">
      <c r="A5" t="s">
        <v>84</v>
      </c>
      <c r="B5" s="9" t="s">
        <v>19</v>
      </c>
      <c r="C5" s="4" t="s">
        <v>88</v>
      </c>
      <c r="D5">
        <v>0.25</v>
      </c>
      <c r="E5">
        <v>0.25</v>
      </c>
    </row>
    <row r="6" spans="1:5" x14ac:dyDescent="0.35">
      <c r="A6" t="s">
        <v>84</v>
      </c>
      <c r="B6" s="9" t="s">
        <v>19</v>
      </c>
      <c r="C6" s="4" t="s">
        <v>89</v>
      </c>
      <c r="D6">
        <v>0.25</v>
      </c>
      <c r="E6">
        <v>0.25</v>
      </c>
    </row>
    <row r="7" spans="1:5" x14ac:dyDescent="0.35">
      <c r="A7" t="s">
        <v>84</v>
      </c>
      <c r="B7" s="9" t="s">
        <v>19</v>
      </c>
      <c r="C7" s="4" t="s">
        <v>90</v>
      </c>
      <c r="D7">
        <v>0.25</v>
      </c>
      <c r="E7">
        <v>0.25</v>
      </c>
    </row>
    <row r="8" spans="1:5" x14ac:dyDescent="0.35">
      <c r="A8" t="s">
        <v>25</v>
      </c>
      <c r="B8" t="s">
        <v>26</v>
      </c>
      <c r="C8" s="4" t="s">
        <v>91</v>
      </c>
      <c r="D8">
        <v>0.25</v>
      </c>
      <c r="E8">
        <v>0.25</v>
      </c>
    </row>
    <row r="9" spans="1:5" x14ac:dyDescent="0.35">
      <c r="A9" t="s">
        <v>25</v>
      </c>
      <c r="B9" t="s">
        <v>26</v>
      </c>
      <c r="C9" s="4" t="s">
        <v>92</v>
      </c>
      <c r="D9">
        <v>0.25</v>
      </c>
      <c r="E9">
        <v>0.25</v>
      </c>
    </row>
    <row r="10" spans="1:5" x14ac:dyDescent="0.35">
      <c r="A10" t="s">
        <v>25</v>
      </c>
      <c r="B10" t="s">
        <v>26</v>
      </c>
      <c r="C10" s="4" t="s">
        <v>93</v>
      </c>
      <c r="D10">
        <v>0.25</v>
      </c>
      <c r="E10">
        <v>0.25</v>
      </c>
    </row>
    <row r="11" spans="1:5" x14ac:dyDescent="0.35">
      <c r="A11" t="s">
        <v>25</v>
      </c>
      <c r="B11" t="s">
        <v>26</v>
      </c>
      <c r="C11" s="4" t="s">
        <v>94</v>
      </c>
      <c r="D11">
        <v>0.25</v>
      </c>
      <c r="E11">
        <v>0.25</v>
      </c>
    </row>
    <row r="12" spans="1:5" x14ac:dyDescent="0.35">
      <c r="A12" t="s">
        <v>25</v>
      </c>
      <c r="B12" t="s">
        <v>26</v>
      </c>
      <c r="C12" s="4" t="s">
        <v>95</v>
      </c>
      <c r="D12">
        <v>0.25</v>
      </c>
      <c r="E12">
        <v>0.25</v>
      </c>
    </row>
    <row r="13" spans="1:5" x14ac:dyDescent="0.35">
      <c r="A13" t="s">
        <v>27</v>
      </c>
      <c r="B13" t="s">
        <v>26</v>
      </c>
      <c r="C13" s="4" t="s">
        <v>96</v>
      </c>
      <c r="D13">
        <v>0.25</v>
      </c>
      <c r="E13">
        <v>0.25</v>
      </c>
    </row>
    <row r="14" spans="1:5" x14ac:dyDescent="0.35">
      <c r="A14" t="s">
        <v>27</v>
      </c>
      <c r="B14" t="s">
        <v>26</v>
      </c>
      <c r="C14" s="4" t="s">
        <v>97</v>
      </c>
      <c r="D14">
        <v>0.25</v>
      </c>
      <c r="E14">
        <v>0.25</v>
      </c>
    </row>
    <row r="15" spans="1:5" x14ac:dyDescent="0.35">
      <c r="A15" t="s">
        <v>27</v>
      </c>
      <c r="B15" t="s">
        <v>26</v>
      </c>
      <c r="C15" s="4" t="s">
        <v>98</v>
      </c>
      <c r="D15">
        <v>0.25</v>
      </c>
      <c r="E15">
        <v>0.25</v>
      </c>
    </row>
    <row r="16" spans="1:5" x14ac:dyDescent="0.35">
      <c r="A16" t="s">
        <v>27</v>
      </c>
      <c r="B16" t="s">
        <v>26</v>
      </c>
      <c r="C16" s="4" t="s">
        <v>99</v>
      </c>
      <c r="D16">
        <v>0.25</v>
      </c>
      <c r="E16">
        <v>0.25</v>
      </c>
    </row>
    <row r="17" spans="1:5" x14ac:dyDescent="0.35">
      <c r="A17" t="s">
        <v>27</v>
      </c>
      <c r="B17" t="s">
        <v>26</v>
      </c>
      <c r="C17" s="4" t="s">
        <v>100</v>
      </c>
      <c r="D17">
        <v>0.25</v>
      </c>
      <c r="E17">
        <v>0.25</v>
      </c>
    </row>
    <row r="18" spans="1:5" x14ac:dyDescent="0.35">
      <c r="A18" t="s">
        <v>28</v>
      </c>
      <c r="B18" t="s">
        <v>26</v>
      </c>
      <c r="C18" s="4" t="s">
        <v>101</v>
      </c>
      <c r="D18">
        <v>0.25</v>
      </c>
      <c r="E18">
        <v>0.25</v>
      </c>
    </row>
    <row r="19" spans="1:5" x14ac:dyDescent="0.35">
      <c r="A19" t="s">
        <v>28</v>
      </c>
      <c r="B19" t="s">
        <v>26</v>
      </c>
      <c r="C19" s="4" t="s">
        <v>102</v>
      </c>
      <c r="D19">
        <v>0.25</v>
      </c>
      <c r="E19">
        <v>0.25</v>
      </c>
    </row>
    <row r="20" spans="1:5" x14ac:dyDescent="0.35">
      <c r="A20" t="s">
        <v>28</v>
      </c>
      <c r="B20" t="s">
        <v>26</v>
      </c>
      <c r="C20" s="4" t="s">
        <v>103</v>
      </c>
      <c r="D20">
        <v>0.25</v>
      </c>
      <c r="E20">
        <v>0.25</v>
      </c>
    </row>
    <row r="21" spans="1:5" x14ac:dyDescent="0.35">
      <c r="A21" t="s">
        <v>28</v>
      </c>
      <c r="B21" t="s">
        <v>26</v>
      </c>
      <c r="C21" s="4" t="s">
        <v>104</v>
      </c>
      <c r="D21">
        <v>0.25</v>
      </c>
      <c r="E21">
        <v>0.25</v>
      </c>
    </row>
    <row r="22" spans="1:5" x14ac:dyDescent="0.35">
      <c r="A22" t="s">
        <v>28</v>
      </c>
      <c r="B22" t="s">
        <v>26</v>
      </c>
      <c r="C22" s="4" t="s">
        <v>100</v>
      </c>
      <c r="D22">
        <v>0.25</v>
      </c>
      <c r="E22">
        <v>0.25</v>
      </c>
    </row>
    <row r="23" spans="1:5" x14ac:dyDescent="0.35">
      <c r="A23" t="s">
        <v>29</v>
      </c>
      <c r="B23" t="s">
        <v>30</v>
      </c>
      <c r="C23" s="4" t="s">
        <v>105</v>
      </c>
      <c r="D23">
        <v>0.25</v>
      </c>
      <c r="E23">
        <v>0.25</v>
      </c>
    </row>
    <row r="24" spans="1:5" x14ac:dyDescent="0.35">
      <c r="A24" t="s">
        <v>29</v>
      </c>
      <c r="B24" t="s">
        <v>30</v>
      </c>
      <c r="C24" s="4" t="s">
        <v>106</v>
      </c>
      <c r="D24">
        <v>0.25</v>
      </c>
      <c r="E24">
        <v>0.25</v>
      </c>
    </row>
    <row r="25" spans="1:5" x14ac:dyDescent="0.35">
      <c r="A25" t="s">
        <v>29</v>
      </c>
      <c r="B25" t="s">
        <v>30</v>
      </c>
      <c r="C25" s="4" t="s">
        <v>107</v>
      </c>
      <c r="D25">
        <v>0.25</v>
      </c>
      <c r="E25">
        <v>0.25</v>
      </c>
    </row>
    <row r="26" spans="1:5" x14ac:dyDescent="0.35">
      <c r="A26" t="s">
        <v>29</v>
      </c>
      <c r="B26" t="s">
        <v>30</v>
      </c>
      <c r="C26" s="4" t="s">
        <v>108</v>
      </c>
      <c r="D26">
        <v>0.25</v>
      </c>
      <c r="E26">
        <v>0.25</v>
      </c>
    </row>
    <row r="27" spans="1:5" x14ac:dyDescent="0.35">
      <c r="A27" t="s">
        <v>29</v>
      </c>
      <c r="B27" t="s">
        <v>30</v>
      </c>
      <c r="C27" s="4" t="s">
        <v>109</v>
      </c>
      <c r="D27">
        <v>0.25</v>
      </c>
      <c r="E27">
        <v>0.25</v>
      </c>
    </row>
    <row r="28" spans="1:5" x14ac:dyDescent="0.35">
      <c r="A28" t="s">
        <v>31</v>
      </c>
      <c r="B28" t="s">
        <v>32</v>
      </c>
      <c r="C28" s="4" t="s">
        <v>110</v>
      </c>
      <c r="D28">
        <v>0.25</v>
      </c>
      <c r="E28">
        <v>0.25</v>
      </c>
    </row>
    <row r="29" spans="1:5" x14ac:dyDescent="0.35">
      <c r="A29" t="s">
        <v>31</v>
      </c>
      <c r="B29" t="s">
        <v>32</v>
      </c>
      <c r="C29" s="4" t="s">
        <v>111</v>
      </c>
      <c r="D29">
        <v>0.25</v>
      </c>
      <c r="E29">
        <v>0.25</v>
      </c>
    </row>
    <row r="30" spans="1:5" x14ac:dyDescent="0.35">
      <c r="A30" t="s">
        <v>31</v>
      </c>
      <c r="B30" t="s">
        <v>32</v>
      </c>
      <c r="C30" s="4" t="s">
        <v>112</v>
      </c>
      <c r="D30">
        <v>0.25</v>
      </c>
      <c r="E30">
        <v>0.25</v>
      </c>
    </row>
    <row r="31" spans="1:5" ht="29" x14ac:dyDescent="0.35">
      <c r="A31" t="s">
        <v>31</v>
      </c>
      <c r="B31" t="s">
        <v>32</v>
      </c>
      <c r="C31" s="4" t="s">
        <v>113</v>
      </c>
      <c r="D31">
        <v>0.25</v>
      </c>
      <c r="E31">
        <v>0.25</v>
      </c>
    </row>
    <row r="32" spans="1:5" x14ac:dyDescent="0.35">
      <c r="A32" t="s">
        <v>31</v>
      </c>
      <c r="B32" t="s">
        <v>32</v>
      </c>
      <c r="C32" s="4" t="s">
        <v>114</v>
      </c>
      <c r="D32">
        <v>0.25</v>
      </c>
      <c r="E32">
        <v>0.25</v>
      </c>
    </row>
    <row r="33" spans="1:5" x14ac:dyDescent="0.35">
      <c r="A33" t="s">
        <v>31</v>
      </c>
      <c r="B33" t="s">
        <v>32</v>
      </c>
      <c r="C33" s="4" t="s">
        <v>115</v>
      </c>
      <c r="D33">
        <v>0.25</v>
      </c>
      <c r="E33">
        <v>0.25</v>
      </c>
    </row>
    <row r="34" spans="1:5" ht="29" x14ac:dyDescent="0.35">
      <c r="A34" t="s">
        <v>31</v>
      </c>
      <c r="B34" t="s">
        <v>32</v>
      </c>
      <c r="C34" s="4" t="s">
        <v>116</v>
      </c>
      <c r="D34">
        <v>0.25</v>
      </c>
      <c r="E34">
        <v>0.25</v>
      </c>
    </row>
    <row r="35" spans="1:5" x14ac:dyDescent="0.35">
      <c r="A35" t="s">
        <v>31</v>
      </c>
      <c r="B35" t="s">
        <v>32</v>
      </c>
      <c r="C35" s="4" t="s">
        <v>117</v>
      </c>
      <c r="D35">
        <v>0.25</v>
      </c>
      <c r="E35">
        <v>0.25</v>
      </c>
    </row>
    <row r="36" spans="1:5" ht="29" x14ac:dyDescent="0.35">
      <c r="A36" t="s">
        <v>33</v>
      </c>
      <c r="B36" t="s">
        <v>34</v>
      </c>
      <c r="C36" s="4" t="s">
        <v>118</v>
      </c>
      <c r="D36">
        <v>0.25</v>
      </c>
      <c r="E36">
        <v>0.25</v>
      </c>
    </row>
    <row r="37" spans="1:5" x14ac:dyDescent="0.35">
      <c r="A37" t="s">
        <v>33</v>
      </c>
      <c r="B37" t="s">
        <v>34</v>
      </c>
      <c r="C37" s="4" t="s">
        <v>119</v>
      </c>
      <c r="D37">
        <v>0.25</v>
      </c>
      <c r="E37">
        <v>0.25</v>
      </c>
    </row>
    <row r="38" spans="1:5" ht="29" x14ac:dyDescent="0.35">
      <c r="A38" t="s">
        <v>33</v>
      </c>
      <c r="B38" t="s">
        <v>34</v>
      </c>
      <c r="C38" s="4" t="s">
        <v>120</v>
      </c>
      <c r="D38">
        <v>0.25</v>
      </c>
      <c r="E38">
        <v>0.25</v>
      </c>
    </row>
    <row r="39" spans="1:5" x14ac:dyDescent="0.35">
      <c r="A39" t="s">
        <v>33</v>
      </c>
      <c r="B39" t="s">
        <v>34</v>
      </c>
      <c r="C39" s="4" t="s">
        <v>121</v>
      </c>
      <c r="D39">
        <v>0.25</v>
      </c>
      <c r="E39">
        <v>0.25</v>
      </c>
    </row>
    <row r="40" spans="1:5" x14ac:dyDescent="0.35">
      <c r="A40" t="s">
        <v>33</v>
      </c>
      <c r="B40" t="s">
        <v>34</v>
      </c>
      <c r="C40" s="4" t="s">
        <v>122</v>
      </c>
      <c r="D40">
        <v>0.25</v>
      </c>
      <c r="E40">
        <v>0.25</v>
      </c>
    </row>
    <row r="41" spans="1:5" x14ac:dyDescent="0.35">
      <c r="A41" t="s">
        <v>33</v>
      </c>
      <c r="B41" t="s">
        <v>34</v>
      </c>
      <c r="C41" s="4" t="s">
        <v>123</v>
      </c>
      <c r="D41">
        <v>0.25</v>
      </c>
      <c r="E41">
        <v>0.25</v>
      </c>
    </row>
    <row r="42" spans="1:5" x14ac:dyDescent="0.35">
      <c r="A42" t="s">
        <v>37</v>
      </c>
      <c r="B42" t="s">
        <v>26</v>
      </c>
      <c r="C42" s="4" t="s">
        <v>124</v>
      </c>
      <c r="D42">
        <v>0</v>
      </c>
      <c r="E42">
        <v>0.25</v>
      </c>
    </row>
    <row r="43" spans="1:5" x14ac:dyDescent="0.35">
      <c r="A43" t="s">
        <v>37</v>
      </c>
      <c r="B43" t="s">
        <v>26</v>
      </c>
      <c r="C43" s="4" t="s">
        <v>125</v>
      </c>
      <c r="D43">
        <v>0</v>
      </c>
      <c r="E43">
        <v>0.25</v>
      </c>
    </row>
    <row r="44" spans="1:5" x14ac:dyDescent="0.35">
      <c r="A44" t="s">
        <v>37</v>
      </c>
      <c r="B44" t="s">
        <v>26</v>
      </c>
      <c r="C44" s="4" t="s">
        <v>126</v>
      </c>
      <c r="D44">
        <v>0</v>
      </c>
      <c r="E44">
        <v>0.25</v>
      </c>
    </row>
    <row r="45" spans="1:5" x14ac:dyDescent="0.35">
      <c r="A45" t="s">
        <v>37</v>
      </c>
      <c r="B45" t="s">
        <v>26</v>
      </c>
      <c r="C45" s="4" t="s">
        <v>127</v>
      </c>
      <c r="D45">
        <v>0</v>
      </c>
      <c r="E45">
        <v>0.25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97E38-DDC7-49C8-8E77-7286C211E8A3}">
  <dimension ref="A1:E45"/>
  <sheetViews>
    <sheetView topLeftCell="A28" workbookViewId="0">
      <selection activeCell="D46" sqref="D46"/>
    </sheetView>
  </sheetViews>
  <sheetFormatPr defaultRowHeight="14.5" x14ac:dyDescent="0.35"/>
  <cols>
    <col min="1" max="1" width="18.81640625" bestFit="1" customWidth="1"/>
    <col min="2" max="2" width="7.36328125" bestFit="1" customWidth="1"/>
    <col min="3" max="3" width="78.90625" style="4" customWidth="1"/>
  </cols>
  <sheetData>
    <row r="1" spans="1:5" x14ac:dyDescent="0.35">
      <c r="A1" t="s">
        <v>0</v>
      </c>
      <c r="B1" t="s">
        <v>1</v>
      </c>
      <c r="C1" s="4" t="s">
        <v>2</v>
      </c>
      <c r="D1" t="s">
        <v>6</v>
      </c>
      <c r="E1" t="s">
        <v>7</v>
      </c>
    </row>
    <row r="2" spans="1:5" x14ac:dyDescent="0.35">
      <c r="A2" t="s">
        <v>84</v>
      </c>
      <c r="B2" s="9" t="s">
        <v>19</v>
      </c>
      <c r="C2" s="4" t="s">
        <v>85</v>
      </c>
      <c r="D2">
        <v>0.25</v>
      </c>
      <c r="E2">
        <v>0.25</v>
      </c>
    </row>
    <row r="3" spans="1:5" x14ac:dyDescent="0.35">
      <c r="A3" t="s">
        <v>84</v>
      </c>
      <c r="B3" s="9" t="s">
        <v>19</v>
      </c>
      <c r="C3" s="4" t="s">
        <v>86</v>
      </c>
      <c r="D3">
        <v>0.25</v>
      </c>
      <c r="E3">
        <v>0.25</v>
      </c>
    </row>
    <row r="4" spans="1:5" ht="29" x14ac:dyDescent="0.35">
      <c r="A4" t="s">
        <v>84</v>
      </c>
      <c r="B4" s="9" t="s">
        <v>19</v>
      </c>
      <c r="C4" s="4" t="s">
        <v>87</v>
      </c>
      <c r="D4">
        <v>0.25</v>
      </c>
      <c r="E4">
        <v>0.25</v>
      </c>
    </row>
    <row r="5" spans="1:5" ht="29" x14ac:dyDescent="0.35">
      <c r="A5" t="s">
        <v>84</v>
      </c>
      <c r="B5" s="9" t="s">
        <v>19</v>
      </c>
      <c r="C5" s="4" t="s">
        <v>88</v>
      </c>
      <c r="D5">
        <v>0.25</v>
      </c>
      <c r="E5">
        <v>0.25</v>
      </c>
    </row>
    <row r="6" spans="1:5" x14ac:dyDescent="0.35">
      <c r="A6" t="s">
        <v>84</v>
      </c>
      <c r="B6" s="9" t="s">
        <v>19</v>
      </c>
      <c r="C6" s="4" t="s">
        <v>89</v>
      </c>
      <c r="D6">
        <v>0.25</v>
      </c>
      <c r="E6">
        <v>0.25</v>
      </c>
    </row>
    <row r="7" spans="1:5" x14ac:dyDescent="0.35">
      <c r="A7" t="s">
        <v>84</v>
      </c>
      <c r="B7" s="9" t="s">
        <v>19</v>
      </c>
      <c r="C7" s="4" t="s">
        <v>90</v>
      </c>
      <c r="D7">
        <v>0.25</v>
      </c>
      <c r="E7">
        <v>0.25</v>
      </c>
    </row>
    <row r="8" spans="1:5" x14ac:dyDescent="0.35">
      <c r="A8" t="s">
        <v>25</v>
      </c>
      <c r="B8" t="s">
        <v>26</v>
      </c>
      <c r="C8" s="4" t="s">
        <v>91</v>
      </c>
      <c r="D8">
        <v>0.25</v>
      </c>
      <c r="E8">
        <v>0.25</v>
      </c>
    </row>
    <row r="9" spans="1:5" x14ac:dyDescent="0.35">
      <c r="A9" t="s">
        <v>25</v>
      </c>
      <c r="B9" t="s">
        <v>26</v>
      </c>
      <c r="C9" s="4" t="s">
        <v>92</v>
      </c>
      <c r="D9">
        <v>0.25</v>
      </c>
      <c r="E9">
        <v>0.25</v>
      </c>
    </row>
    <row r="10" spans="1:5" x14ac:dyDescent="0.35">
      <c r="A10" t="s">
        <v>25</v>
      </c>
      <c r="B10" t="s">
        <v>26</v>
      </c>
      <c r="C10" s="4" t="s">
        <v>93</v>
      </c>
      <c r="D10">
        <v>0.25</v>
      </c>
      <c r="E10">
        <v>0.25</v>
      </c>
    </row>
    <row r="11" spans="1:5" x14ac:dyDescent="0.35">
      <c r="A11" t="s">
        <v>25</v>
      </c>
      <c r="B11" t="s">
        <v>26</v>
      </c>
      <c r="C11" s="4" t="s">
        <v>94</v>
      </c>
      <c r="D11">
        <v>0.25</v>
      </c>
      <c r="E11">
        <v>0.25</v>
      </c>
    </row>
    <row r="12" spans="1:5" x14ac:dyDescent="0.35">
      <c r="A12" t="s">
        <v>25</v>
      </c>
      <c r="B12" t="s">
        <v>26</v>
      </c>
      <c r="C12" s="4" t="s">
        <v>95</v>
      </c>
      <c r="D12">
        <v>0.25</v>
      </c>
      <c r="E12">
        <v>0.25</v>
      </c>
    </row>
    <row r="13" spans="1:5" x14ac:dyDescent="0.35">
      <c r="A13" t="s">
        <v>27</v>
      </c>
      <c r="B13" t="s">
        <v>26</v>
      </c>
      <c r="C13" s="4" t="s">
        <v>96</v>
      </c>
      <c r="D13">
        <v>0.25</v>
      </c>
      <c r="E13">
        <v>0.25</v>
      </c>
    </row>
    <row r="14" spans="1:5" x14ac:dyDescent="0.35">
      <c r="A14" t="s">
        <v>27</v>
      </c>
      <c r="B14" t="s">
        <v>26</v>
      </c>
      <c r="C14" s="4" t="s">
        <v>97</v>
      </c>
      <c r="D14">
        <v>0.25</v>
      </c>
      <c r="E14">
        <v>0.25</v>
      </c>
    </row>
    <row r="15" spans="1:5" x14ac:dyDescent="0.35">
      <c r="A15" t="s">
        <v>27</v>
      </c>
      <c r="B15" t="s">
        <v>26</v>
      </c>
      <c r="C15" s="4" t="s">
        <v>98</v>
      </c>
      <c r="D15">
        <v>0.25</v>
      </c>
      <c r="E15">
        <v>0.25</v>
      </c>
    </row>
    <row r="16" spans="1:5" x14ac:dyDescent="0.35">
      <c r="A16" t="s">
        <v>27</v>
      </c>
      <c r="B16" t="s">
        <v>26</v>
      </c>
      <c r="C16" s="4" t="s">
        <v>99</v>
      </c>
      <c r="D16">
        <v>0.25</v>
      </c>
      <c r="E16">
        <v>0.25</v>
      </c>
    </row>
    <row r="17" spans="1:5" x14ac:dyDescent="0.35">
      <c r="A17" t="s">
        <v>27</v>
      </c>
      <c r="B17" t="s">
        <v>26</v>
      </c>
      <c r="C17" s="4" t="s">
        <v>100</v>
      </c>
      <c r="D17">
        <v>0.25</v>
      </c>
      <c r="E17">
        <v>0.25</v>
      </c>
    </row>
    <row r="18" spans="1:5" x14ac:dyDescent="0.35">
      <c r="A18" t="s">
        <v>28</v>
      </c>
      <c r="B18" t="s">
        <v>26</v>
      </c>
      <c r="C18" s="4" t="s">
        <v>101</v>
      </c>
      <c r="D18">
        <v>0.25</v>
      </c>
      <c r="E18">
        <v>0.25</v>
      </c>
    </row>
    <row r="19" spans="1:5" x14ac:dyDescent="0.35">
      <c r="A19" t="s">
        <v>28</v>
      </c>
      <c r="B19" t="s">
        <v>26</v>
      </c>
      <c r="C19" s="4" t="s">
        <v>102</v>
      </c>
      <c r="D19">
        <v>0.25</v>
      </c>
      <c r="E19">
        <v>0.25</v>
      </c>
    </row>
    <row r="20" spans="1:5" x14ac:dyDescent="0.35">
      <c r="A20" t="s">
        <v>28</v>
      </c>
      <c r="B20" t="s">
        <v>26</v>
      </c>
      <c r="C20" s="4" t="s">
        <v>103</v>
      </c>
      <c r="D20">
        <v>0.25</v>
      </c>
      <c r="E20">
        <v>0.25</v>
      </c>
    </row>
    <row r="21" spans="1:5" x14ac:dyDescent="0.35">
      <c r="A21" t="s">
        <v>28</v>
      </c>
      <c r="B21" t="s">
        <v>26</v>
      </c>
      <c r="C21" s="4" t="s">
        <v>104</v>
      </c>
      <c r="D21">
        <v>0.25</v>
      </c>
      <c r="E21">
        <v>0.25</v>
      </c>
    </row>
    <row r="22" spans="1:5" x14ac:dyDescent="0.35">
      <c r="A22" t="s">
        <v>28</v>
      </c>
      <c r="B22" t="s">
        <v>26</v>
      </c>
      <c r="C22" s="4" t="s">
        <v>100</v>
      </c>
      <c r="D22">
        <v>0.25</v>
      </c>
      <c r="E22">
        <v>0.25</v>
      </c>
    </row>
    <row r="23" spans="1:5" x14ac:dyDescent="0.35">
      <c r="A23" t="s">
        <v>29</v>
      </c>
      <c r="B23" t="s">
        <v>30</v>
      </c>
      <c r="C23" s="4" t="s">
        <v>105</v>
      </c>
      <c r="D23">
        <v>0.25</v>
      </c>
      <c r="E23">
        <v>0.25</v>
      </c>
    </row>
    <row r="24" spans="1:5" ht="29" x14ac:dyDescent="0.35">
      <c r="A24" t="s">
        <v>29</v>
      </c>
      <c r="B24" t="s">
        <v>30</v>
      </c>
      <c r="C24" s="4" t="s">
        <v>106</v>
      </c>
      <c r="D24">
        <v>0.25</v>
      </c>
      <c r="E24">
        <v>0.25</v>
      </c>
    </row>
    <row r="25" spans="1:5" x14ac:dyDescent="0.35">
      <c r="A25" t="s">
        <v>29</v>
      </c>
      <c r="B25" t="s">
        <v>30</v>
      </c>
      <c r="C25" s="4" t="s">
        <v>107</v>
      </c>
      <c r="D25">
        <v>0.25</v>
      </c>
      <c r="E25">
        <v>0.25</v>
      </c>
    </row>
    <row r="26" spans="1:5" ht="29" x14ac:dyDescent="0.35">
      <c r="A26" t="s">
        <v>29</v>
      </c>
      <c r="B26" t="s">
        <v>30</v>
      </c>
      <c r="C26" s="4" t="s">
        <v>108</v>
      </c>
      <c r="D26">
        <v>0.25</v>
      </c>
      <c r="E26">
        <v>0.25</v>
      </c>
    </row>
    <row r="27" spans="1:5" x14ac:dyDescent="0.35">
      <c r="A27" t="s">
        <v>29</v>
      </c>
      <c r="B27" t="s">
        <v>30</v>
      </c>
      <c r="C27" s="4" t="s">
        <v>109</v>
      </c>
      <c r="D27">
        <v>0.25</v>
      </c>
      <c r="E27">
        <v>0.25</v>
      </c>
    </row>
    <row r="28" spans="1:5" ht="29" x14ac:dyDescent="0.35">
      <c r="A28" t="s">
        <v>31</v>
      </c>
      <c r="B28" t="s">
        <v>32</v>
      </c>
      <c r="C28" s="4" t="s">
        <v>110</v>
      </c>
      <c r="D28">
        <v>0.25</v>
      </c>
      <c r="E28">
        <v>0.25</v>
      </c>
    </row>
    <row r="29" spans="1:5" ht="29" x14ac:dyDescent="0.35">
      <c r="A29" t="s">
        <v>31</v>
      </c>
      <c r="B29" t="s">
        <v>32</v>
      </c>
      <c r="C29" s="4" t="s">
        <v>111</v>
      </c>
      <c r="D29">
        <v>0.25</v>
      </c>
      <c r="E29">
        <v>0.25</v>
      </c>
    </row>
    <row r="30" spans="1:5" x14ac:dyDescent="0.35">
      <c r="A30" t="s">
        <v>31</v>
      </c>
      <c r="B30" t="s">
        <v>32</v>
      </c>
      <c r="C30" s="4" t="s">
        <v>112</v>
      </c>
      <c r="D30">
        <v>0.25</v>
      </c>
      <c r="E30">
        <v>0.25</v>
      </c>
    </row>
    <row r="31" spans="1:5" ht="43.5" x14ac:dyDescent="0.35">
      <c r="A31" t="s">
        <v>31</v>
      </c>
      <c r="B31" t="s">
        <v>32</v>
      </c>
      <c r="C31" s="4" t="s">
        <v>113</v>
      </c>
      <c r="D31">
        <v>0.25</v>
      </c>
      <c r="E31">
        <v>0.25</v>
      </c>
    </row>
    <row r="32" spans="1:5" ht="29" x14ac:dyDescent="0.35">
      <c r="A32" t="s">
        <v>31</v>
      </c>
      <c r="B32" t="s">
        <v>32</v>
      </c>
      <c r="C32" s="4" t="s">
        <v>114</v>
      </c>
      <c r="D32">
        <v>0.25</v>
      </c>
      <c r="E32">
        <v>0.25</v>
      </c>
    </row>
    <row r="33" spans="1:5" ht="29" x14ac:dyDescent="0.35">
      <c r="A33" t="s">
        <v>31</v>
      </c>
      <c r="B33" t="s">
        <v>32</v>
      </c>
      <c r="C33" s="4" t="s">
        <v>115</v>
      </c>
      <c r="D33">
        <v>0.25</v>
      </c>
      <c r="E33">
        <v>0.25</v>
      </c>
    </row>
    <row r="34" spans="1:5" ht="43.5" x14ac:dyDescent="0.35">
      <c r="A34" t="s">
        <v>31</v>
      </c>
      <c r="B34" t="s">
        <v>32</v>
      </c>
      <c r="C34" s="4" t="s">
        <v>116</v>
      </c>
      <c r="D34">
        <v>0.25</v>
      </c>
      <c r="E34">
        <v>0.25</v>
      </c>
    </row>
    <row r="35" spans="1:5" ht="29" x14ac:dyDescent="0.35">
      <c r="A35" t="s">
        <v>31</v>
      </c>
      <c r="B35" t="s">
        <v>32</v>
      </c>
      <c r="C35" s="4" t="s">
        <v>117</v>
      </c>
      <c r="D35">
        <v>0.25</v>
      </c>
      <c r="E35">
        <v>0.25</v>
      </c>
    </row>
    <row r="36" spans="1:5" ht="58" x14ac:dyDescent="0.35">
      <c r="A36" t="s">
        <v>33</v>
      </c>
      <c r="B36" t="s">
        <v>34</v>
      </c>
      <c r="C36" s="4" t="s">
        <v>118</v>
      </c>
      <c r="D36">
        <v>0.25</v>
      </c>
      <c r="E36">
        <v>0.25</v>
      </c>
    </row>
    <row r="37" spans="1:5" x14ac:dyDescent="0.35">
      <c r="A37" t="s">
        <v>33</v>
      </c>
      <c r="B37" t="s">
        <v>34</v>
      </c>
      <c r="C37" s="4" t="s">
        <v>119</v>
      </c>
      <c r="D37">
        <v>0.25</v>
      </c>
      <c r="E37">
        <v>0.25</v>
      </c>
    </row>
    <row r="38" spans="1:5" ht="43.5" x14ac:dyDescent="0.35">
      <c r="A38" t="s">
        <v>33</v>
      </c>
      <c r="B38" t="s">
        <v>34</v>
      </c>
      <c r="C38" s="4" t="s">
        <v>120</v>
      </c>
      <c r="D38">
        <v>0.25</v>
      </c>
      <c r="E38">
        <v>0.25</v>
      </c>
    </row>
    <row r="39" spans="1:5" ht="29" x14ac:dyDescent="0.35">
      <c r="A39" t="s">
        <v>33</v>
      </c>
      <c r="B39" t="s">
        <v>34</v>
      </c>
      <c r="C39" s="4" t="s">
        <v>121</v>
      </c>
      <c r="D39">
        <v>0.25</v>
      </c>
      <c r="E39">
        <v>0.25</v>
      </c>
    </row>
    <row r="40" spans="1:5" x14ac:dyDescent="0.35">
      <c r="A40" t="s">
        <v>33</v>
      </c>
      <c r="B40" t="s">
        <v>34</v>
      </c>
      <c r="C40" s="4" t="s">
        <v>122</v>
      </c>
      <c r="D40">
        <v>0.25</v>
      </c>
      <c r="E40">
        <v>0.25</v>
      </c>
    </row>
    <row r="41" spans="1:5" x14ac:dyDescent="0.35">
      <c r="A41" t="s">
        <v>33</v>
      </c>
      <c r="B41" t="s">
        <v>34</v>
      </c>
      <c r="C41" s="4" t="s">
        <v>123</v>
      </c>
      <c r="D41">
        <v>0.25</v>
      </c>
      <c r="E41">
        <v>0.25</v>
      </c>
    </row>
    <row r="42" spans="1:5" ht="29" x14ac:dyDescent="0.35">
      <c r="A42" t="s">
        <v>37</v>
      </c>
      <c r="B42" t="s">
        <v>26</v>
      </c>
      <c r="C42" s="4" t="s">
        <v>124</v>
      </c>
      <c r="D42">
        <v>0</v>
      </c>
      <c r="E42">
        <v>0.25</v>
      </c>
    </row>
    <row r="43" spans="1:5" x14ac:dyDescent="0.35">
      <c r="A43" t="s">
        <v>37</v>
      </c>
      <c r="B43" t="s">
        <v>26</v>
      </c>
      <c r="C43" s="4" t="s">
        <v>125</v>
      </c>
      <c r="D43">
        <v>0</v>
      </c>
      <c r="E43">
        <v>0.25</v>
      </c>
    </row>
    <row r="44" spans="1:5" x14ac:dyDescent="0.35">
      <c r="A44" t="s">
        <v>37</v>
      </c>
      <c r="B44" t="s">
        <v>26</v>
      </c>
      <c r="C44" s="4" t="s">
        <v>126</v>
      </c>
      <c r="D44">
        <v>0</v>
      </c>
      <c r="E44">
        <v>0.25</v>
      </c>
    </row>
    <row r="45" spans="1:5" x14ac:dyDescent="0.35">
      <c r="A45" t="s">
        <v>37</v>
      </c>
      <c r="B45" t="s">
        <v>26</v>
      </c>
      <c r="C45" s="4" t="s">
        <v>127</v>
      </c>
      <c r="D45">
        <v>0</v>
      </c>
      <c r="E45">
        <v>0.25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3"/>
  <sheetViews>
    <sheetView topLeftCell="A24" workbookViewId="0">
      <selection sqref="A1:E33"/>
    </sheetView>
  </sheetViews>
  <sheetFormatPr defaultRowHeight="14.5" x14ac:dyDescent="0.35"/>
  <cols>
    <col min="1" max="1" width="14.81640625" customWidth="1"/>
    <col min="2" max="2" width="6.36328125" customWidth="1"/>
    <col min="3" max="3" width="123.26953125" style="4" customWidth="1"/>
    <col min="4" max="4" width="38.81640625" style="1" bestFit="1" customWidth="1"/>
    <col min="5" max="5" width="36.26953125" style="1" bestFit="1" customWidth="1"/>
  </cols>
  <sheetData>
    <row r="1" spans="1:5" x14ac:dyDescent="0.35">
      <c r="A1" t="s">
        <v>0</v>
      </c>
      <c r="B1" t="s">
        <v>1</v>
      </c>
      <c r="C1" s="4" t="s">
        <v>2</v>
      </c>
      <c r="D1" s="1" t="s">
        <v>6</v>
      </c>
      <c r="E1" s="1" t="s">
        <v>7</v>
      </c>
    </row>
    <row r="2" spans="1:5" ht="58" x14ac:dyDescent="0.35">
      <c r="A2" t="s">
        <v>18</v>
      </c>
      <c r="B2" t="s">
        <v>19</v>
      </c>
      <c r="C2" s="4" t="s">
        <v>46</v>
      </c>
      <c r="D2" s="1">
        <v>0.15</v>
      </c>
      <c r="E2" s="1">
        <v>0.15</v>
      </c>
    </row>
    <row r="3" spans="1:5" ht="58" x14ac:dyDescent="0.35">
      <c r="A3" t="s">
        <v>18</v>
      </c>
      <c r="B3" t="s">
        <v>19</v>
      </c>
      <c r="C3" s="4" t="s">
        <v>47</v>
      </c>
      <c r="D3" s="1">
        <v>0.15</v>
      </c>
      <c r="E3" s="1">
        <v>0.15</v>
      </c>
    </row>
    <row r="4" spans="1:5" ht="58" x14ac:dyDescent="0.35">
      <c r="A4" t="s">
        <v>18</v>
      </c>
      <c r="B4" t="s">
        <v>19</v>
      </c>
      <c r="C4" s="4" t="s">
        <v>48</v>
      </c>
      <c r="D4" s="1">
        <v>0.15</v>
      </c>
      <c r="E4" s="1">
        <v>0.15</v>
      </c>
    </row>
    <row r="5" spans="1:5" ht="29" x14ac:dyDescent="0.35">
      <c r="A5" t="s">
        <v>18</v>
      </c>
      <c r="B5" t="s">
        <v>19</v>
      </c>
      <c r="C5" s="4" t="s">
        <v>49</v>
      </c>
      <c r="D5" s="1">
        <v>0.15</v>
      </c>
      <c r="E5" s="1">
        <v>0.15</v>
      </c>
    </row>
    <row r="6" spans="1:5" ht="58" x14ac:dyDescent="0.35">
      <c r="A6" t="s">
        <v>25</v>
      </c>
      <c r="B6" t="s">
        <v>26</v>
      </c>
      <c r="C6" s="4" t="s">
        <v>46</v>
      </c>
      <c r="D6" s="1">
        <v>0.15</v>
      </c>
      <c r="E6" s="1">
        <v>0.15</v>
      </c>
    </row>
    <row r="7" spans="1:5" ht="58" x14ac:dyDescent="0.35">
      <c r="A7" t="s">
        <v>25</v>
      </c>
      <c r="B7" t="s">
        <v>26</v>
      </c>
      <c r="C7" s="4" t="s">
        <v>47</v>
      </c>
      <c r="D7" s="1">
        <v>0.15</v>
      </c>
      <c r="E7" s="1">
        <v>0.15</v>
      </c>
    </row>
    <row r="8" spans="1:5" ht="58" x14ac:dyDescent="0.35">
      <c r="A8" t="s">
        <v>25</v>
      </c>
      <c r="B8" t="s">
        <v>26</v>
      </c>
      <c r="C8" s="4" t="s">
        <v>48</v>
      </c>
      <c r="D8" s="1">
        <v>0.15</v>
      </c>
      <c r="E8" s="1">
        <v>0.15</v>
      </c>
    </row>
    <row r="9" spans="1:5" ht="29" x14ac:dyDescent="0.35">
      <c r="A9" t="s">
        <v>25</v>
      </c>
      <c r="B9" t="s">
        <v>26</v>
      </c>
      <c r="C9" s="4" t="s">
        <v>49</v>
      </c>
      <c r="D9" s="1">
        <v>0.15</v>
      </c>
      <c r="E9" s="1">
        <v>0.15</v>
      </c>
    </row>
    <row r="10" spans="1:5" ht="58" x14ac:dyDescent="0.35">
      <c r="A10" t="s">
        <v>27</v>
      </c>
      <c r="B10" t="s">
        <v>26</v>
      </c>
      <c r="C10" s="4" t="s">
        <v>46</v>
      </c>
      <c r="D10" s="1">
        <v>0.15</v>
      </c>
      <c r="E10" s="1">
        <v>0.15</v>
      </c>
    </row>
    <row r="11" spans="1:5" ht="58" x14ac:dyDescent="0.35">
      <c r="A11" t="s">
        <v>27</v>
      </c>
      <c r="B11" t="s">
        <v>26</v>
      </c>
      <c r="C11" s="4" t="s">
        <v>47</v>
      </c>
      <c r="D11" s="1">
        <v>0.15</v>
      </c>
      <c r="E11" s="1">
        <v>0.15</v>
      </c>
    </row>
    <row r="12" spans="1:5" ht="58" x14ac:dyDescent="0.35">
      <c r="A12" t="s">
        <v>27</v>
      </c>
      <c r="B12" t="s">
        <v>26</v>
      </c>
      <c r="C12" s="4" t="s">
        <v>48</v>
      </c>
      <c r="D12" s="1">
        <v>0.15</v>
      </c>
      <c r="E12" s="1">
        <v>0.15</v>
      </c>
    </row>
    <row r="13" spans="1:5" ht="29" x14ac:dyDescent="0.35">
      <c r="A13" t="s">
        <v>27</v>
      </c>
      <c r="B13" t="s">
        <v>26</v>
      </c>
      <c r="C13" s="4" t="s">
        <v>49</v>
      </c>
      <c r="D13" s="1">
        <v>0.15</v>
      </c>
      <c r="E13" s="1">
        <v>0.15</v>
      </c>
    </row>
    <row r="14" spans="1:5" ht="58" x14ac:dyDescent="0.35">
      <c r="A14" t="s">
        <v>28</v>
      </c>
      <c r="B14" t="s">
        <v>26</v>
      </c>
      <c r="C14" s="4" t="s">
        <v>46</v>
      </c>
      <c r="D14" s="1">
        <v>0.15</v>
      </c>
      <c r="E14" s="1">
        <v>0.15</v>
      </c>
    </row>
    <row r="15" spans="1:5" ht="58" x14ac:dyDescent="0.35">
      <c r="A15" t="s">
        <v>28</v>
      </c>
      <c r="B15" t="s">
        <v>26</v>
      </c>
      <c r="C15" s="4" t="s">
        <v>47</v>
      </c>
      <c r="D15" s="1">
        <v>0.15</v>
      </c>
      <c r="E15" s="1">
        <v>0.15</v>
      </c>
    </row>
    <row r="16" spans="1:5" ht="58" x14ac:dyDescent="0.35">
      <c r="A16" t="s">
        <v>28</v>
      </c>
      <c r="B16" t="s">
        <v>26</v>
      </c>
      <c r="C16" s="4" t="s">
        <v>48</v>
      </c>
      <c r="D16" s="1">
        <v>0.15</v>
      </c>
      <c r="E16" s="1">
        <v>0.15</v>
      </c>
    </row>
    <row r="17" spans="1:5" ht="29" x14ac:dyDescent="0.35">
      <c r="A17" t="s">
        <v>28</v>
      </c>
      <c r="B17" t="s">
        <v>26</v>
      </c>
      <c r="C17" s="4" t="s">
        <v>49</v>
      </c>
      <c r="D17" s="1">
        <v>0.15</v>
      </c>
      <c r="E17" s="1">
        <v>0.15</v>
      </c>
    </row>
    <row r="18" spans="1:5" ht="58" x14ac:dyDescent="0.35">
      <c r="A18" t="s">
        <v>29</v>
      </c>
      <c r="B18" t="s">
        <v>30</v>
      </c>
      <c r="C18" s="4" t="s">
        <v>46</v>
      </c>
      <c r="D18" s="1">
        <v>0.15</v>
      </c>
      <c r="E18" s="1">
        <v>0.15</v>
      </c>
    </row>
    <row r="19" spans="1:5" ht="58" x14ac:dyDescent="0.35">
      <c r="A19" t="s">
        <v>29</v>
      </c>
      <c r="B19" t="s">
        <v>30</v>
      </c>
      <c r="C19" s="4" t="s">
        <v>47</v>
      </c>
      <c r="D19" s="1">
        <v>0.15</v>
      </c>
      <c r="E19" s="1">
        <v>0.15</v>
      </c>
    </row>
    <row r="20" spans="1:5" ht="58" x14ac:dyDescent="0.35">
      <c r="A20" t="s">
        <v>29</v>
      </c>
      <c r="B20" t="s">
        <v>30</v>
      </c>
      <c r="C20" s="4" t="s">
        <v>48</v>
      </c>
      <c r="D20" s="1">
        <v>0.15</v>
      </c>
      <c r="E20" s="1">
        <v>0.15</v>
      </c>
    </row>
    <row r="21" spans="1:5" ht="29" x14ac:dyDescent="0.35">
      <c r="A21" t="s">
        <v>29</v>
      </c>
      <c r="B21" t="s">
        <v>30</v>
      </c>
      <c r="C21" s="4" t="s">
        <v>49</v>
      </c>
      <c r="D21" s="1">
        <v>0.15</v>
      </c>
      <c r="E21" s="1">
        <v>0.15</v>
      </c>
    </row>
    <row r="22" spans="1:5" ht="58" x14ac:dyDescent="0.35">
      <c r="A22" t="s">
        <v>31</v>
      </c>
      <c r="B22" t="s">
        <v>32</v>
      </c>
      <c r="C22" s="4" t="s">
        <v>46</v>
      </c>
      <c r="D22" s="1">
        <v>0.15</v>
      </c>
      <c r="E22" s="1">
        <v>0.15</v>
      </c>
    </row>
    <row r="23" spans="1:5" ht="58" x14ac:dyDescent="0.35">
      <c r="A23" t="s">
        <v>31</v>
      </c>
      <c r="B23" t="s">
        <v>32</v>
      </c>
      <c r="C23" s="4" t="s">
        <v>47</v>
      </c>
      <c r="D23" s="1">
        <v>0.15</v>
      </c>
      <c r="E23" s="1">
        <v>0.15</v>
      </c>
    </row>
    <row r="24" spans="1:5" ht="58" x14ac:dyDescent="0.35">
      <c r="A24" t="s">
        <v>31</v>
      </c>
      <c r="B24" t="s">
        <v>32</v>
      </c>
      <c r="C24" s="4" t="s">
        <v>48</v>
      </c>
      <c r="D24" s="1">
        <v>0.15</v>
      </c>
      <c r="E24" s="1">
        <v>0.15</v>
      </c>
    </row>
    <row r="25" spans="1:5" ht="29" x14ac:dyDescent="0.35">
      <c r="A25" t="s">
        <v>31</v>
      </c>
      <c r="B25" t="s">
        <v>32</v>
      </c>
      <c r="C25" s="4" t="s">
        <v>49</v>
      </c>
      <c r="D25" s="1">
        <v>0.15</v>
      </c>
      <c r="E25" s="1">
        <v>0.15</v>
      </c>
    </row>
    <row r="26" spans="1:5" ht="58" x14ac:dyDescent="0.35">
      <c r="A26" t="s">
        <v>33</v>
      </c>
      <c r="B26" t="s">
        <v>34</v>
      </c>
      <c r="C26" s="4" t="s">
        <v>46</v>
      </c>
      <c r="D26" s="1">
        <v>0.15</v>
      </c>
      <c r="E26" s="1">
        <v>0.15</v>
      </c>
    </row>
    <row r="27" spans="1:5" ht="58" x14ac:dyDescent="0.35">
      <c r="A27" t="s">
        <v>33</v>
      </c>
      <c r="B27" t="s">
        <v>34</v>
      </c>
      <c r="C27" s="4" t="s">
        <v>47</v>
      </c>
      <c r="D27" s="1">
        <v>0.15</v>
      </c>
      <c r="E27" s="1">
        <v>0.15</v>
      </c>
    </row>
    <row r="28" spans="1:5" ht="58" x14ac:dyDescent="0.35">
      <c r="A28" t="s">
        <v>33</v>
      </c>
      <c r="B28" t="s">
        <v>34</v>
      </c>
      <c r="C28" s="4" t="s">
        <v>48</v>
      </c>
      <c r="D28" s="1">
        <v>0.15</v>
      </c>
      <c r="E28" s="1">
        <v>0.15</v>
      </c>
    </row>
    <row r="29" spans="1:5" ht="29" x14ac:dyDescent="0.35">
      <c r="A29" t="s">
        <v>33</v>
      </c>
      <c r="B29" t="s">
        <v>34</v>
      </c>
      <c r="C29" s="4" t="s">
        <v>49</v>
      </c>
      <c r="D29" s="1">
        <v>0.15</v>
      </c>
      <c r="E29" s="1">
        <v>0.15</v>
      </c>
    </row>
    <row r="30" spans="1:5" ht="58" x14ac:dyDescent="0.35">
      <c r="A30" t="s">
        <v>37</v>
      </c>
      <c r="B30" t="s">
        <v>26</v>
      </c>
      <c r="C30" s="4" t="s">
        <v>46</v>
      </c>
      <c r="E30" s="1">
        <v>0.15</v>
      </c>
    </row>
    <row r="31" spans="1:5" ht="58" x14ac:dyDescent="0.35">
      <c r="A31" t="s">
        <v>37</v>
      </c>
      <c r="B31" t="s">
        <v>26</v>
      </c>
      <c r="C31" s="4" t="s">
        <v>47</v>
      </c>
      <c r="E31" s="1">
        <v>0.15</v>
      </c>
    </row>
    <row r="32" spans="1:5" ht="58" x14ac:dyDescent="0.35">
      <c r="A32" t="s">
        <v>37</v>
      </c>
      <c r="B32" t="s">
        <v>26</v>
      </c>
      <c r="C32" s="4" t="s">
        <v>50</v>
      </c>
      <c r="E32" s="1">
        <v>0.15</v>
      </c>
    </row>
    <row r="33" spans="1:5" ht="29" x14ac:dyDescent="0.35">
      <c r="A33" t="s">
        <v>37</v>
      </c>
      <c r="B33" t="s">
        <v>26</v>
      </c>
      <c r="C33" s="4" t="s">
        <v>49</v>
      </c>
      <c r="E33" s="1">
        <v>0.15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
  <sheetViews>
    <sheetView workbookViewId="0"/>
  </sheetViews>
  <sheetFormatPr defaultRowHeight="14.5" x14ac:dyDescent="0.35"/>
  <cols>
    <col min="1" max="1" width="14.81640625" customWidth="1"/>
    <col min="2" max="2" width="6.36328125" customWidth="1"/>
    <col min="3" max="3" width="182.81640625" style="8" bestFit="1" customWidth="1"/>
    <col min="4" max="4" width="27" style="5" bestFit="1" customWidth="1"/>
    <col min="5" max="5" width="27.6328125" style="5" customWidth="1"/>
    <col min="6" max="6" width="25.36328125" customWidth="1"/>
    <col min="7" max="7" width="27" customWidth="1"/>
    <col min="8" max="8" width="25.36328125" customWidth="1"/>
  </cols>
  <sheetData>
    <row r="1" spans="1:5" x14ac:dyDescent="0.35">
      <c r="A1" t="s">
        <v>0</v>
      </c>
      <c r="B1" t="s">
        <v>1</v>
      </c>
      <c r="C1" s="8" t="s">
        <v>2</v>
      </c>
      <c r="D1" s="5" t="s">
        <v>6</v>
      </c>
      <c r="E1" s="5" t="s">
        <v>7</v>
      </c>
    </row>
    <row r="2" spans="1:5" ht="78.5" x14ac:dyDescent="0.35">
      <c r="A2" t="s">
        <v>18</v>
      </c>
      <c r="B2" t="s">
        <v>19</v>
      </c>
      <c r="C2" s="8" t="s">
        <v>51</v>
      </c>
      <c r="D2" s="5">
        <v>0.25</v>
      </c>
      <c r="E2" s="5">
        <v>0.25</v>
      </c>
    </row>
    <row r="3" spans="1:5" ht="65.5" x14ac:dyDescent="0.35">
      <c r="A3" t="s">
        <v>25</v>
      </c>
      <c r="B3" t="s">
        <v>26</v>
      </c>
      <c r="C3" s="8" t="s">
        <v>52</v>
      </c>
      <c r="D3" s="5">
        <v>0.25</v>
      </c>
      <c r="E3" s="5">
        <v>0.25</v>
      </c>
    </row>
    <row r="4" spans="1:5" ht="65.5" x14ac:dyDescent="0.35">
      <c r="A4" t="s">
        <v>27</v>
      </c>
      <c r="B4" t="s">
        <v>26</v>
      </c>
      <c r="C4" s="8" t="s">
        <v>53</v>
      </c>
      <c r="D4" s="5">
        <v>0.25</v>
      </c>
      <c r="E4" s="5">
        <v>0.25</v>
      </c>
    </row>
    <row r="5" spans="1:5" ht="65.5" x14ac:dyDescent="0.35">
      <c r="A5" t="s">
        <v>28</v>
      </c>
      <c r="B5" t="s">
        <v>26</v>
      </c>
      <c r="C5" s="8" t="s">
        <v>54</v>
      </c>
      <c r="D5" s="5">
        <v>0.25</v>
      </c>
      <c r="E5" s="5">
        <v>0.25</v>
      </c>
    </row>
    <row r="6" spans="1:5" ht="65.5" x14ac:dyDescent="0.35">
      <c r="A6" t="s">
        <v>29</v>
      </c>
      <c r="B6" t="s">
        <v>30</v>
      </c>
      <c r="C6" s="8" t="s">
        <v>55</v>
      </c>
      <c r="D6" s="5">
        <v>0.25</v>
      </c>
      <c r="E6" s="5">
        <v>0.25</v>
      </c>
    </row>
    <row r="7" spans="1:5" ht="117.5" x14ac:dyDescent="0.35">
      <c r="A7" t="s">
        <v>31</v>
      </c>
      <c r="B7" t="s">
        <v>32</v>
      </c>
      <c r="C7" s="8" t="s">
        <v>56</v>
      </c>
      <c r="D7" s="5">
        <v>0.25</v>
      </c>
      <c r="E7" s="5">
        <v>0.25</v>
      </c>
    </row>
    <row r="8" spans="1:5" ht="169.5" x14ac:dyDescent="0.35">
      <c r="A8" t="s">
        <v>33</v>
      </c>
      <c r="B8" t="s">
        <v>34</v>
      </c>
      <c r="C8" s="8" t="s">
        <v>57</v>
      </c>
      <c r="D8" s="5">
        <v>0.25</v>
      </c>
      <c r="E8" s="5">
        <v>0.25</v>
      </c>
    </row>
    <row r="9" spans="1:5" ht="91.5" x14ac:dyDescent="0.35">
      <c r="A9" t="s">
        <v>37</v>
      </c>
      <c r="B9" t="s">
        <v>26</v>
      </c>
      <c r="C9" s="8" t="s">
        <v>58</v>
      </c>
      <c r="E9" s="5">
        <v>0.25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5"/>
  <sheetViews>
    <sheetView workbookViewId="0">
      <selection activeCell="D21" sqref="A21:D23"/>
    </sheetView>
  </sheetViews>
  <sheetFormatPr defaultRowHeight="14.5" x14ac:dyDescent="0.35"/>
  <cols>
    <col min="1" max="1" width="39.36328125" bestFit="1" customWidth="1"/>
    <col min="2" max="2" width="14.81640625" customWidth="1"/>
    <col min="3" max="3" width="25.36328125" bestFit="1" customWidth="1"/>
    <col min="4" max="4" width="14.81640625" customWidth="1"/>
  </cols>
  <sheetData>
    <row r="1" spans="1:4" x14ac:dyDescent="0.35">
      <c r="A1" s="6" t="s">
        <v>59</v>
      </c>
      <c r="B1" s="6" t="s">
        <v>60</v>
      </c>
      <c r="C1" s="6"/>
      <c r="D1" s="6"/>
    </row>
    <row r="2" spans="1:4" x14ac:dyDescent="0.35">
      <c r="A2" t="s">
        <v>61</v>
      </c>
      <c r="B2" t="s">
        <v>24</v>
      </c>
    </row>
    <row r="3" spans="1:4" x14ac:dyDescent="0.35">
      <c r="A3" t="s">
        <v>62</v>
      </c>
      <c r="B3">
        <v>7</v>
      </c>
    </row>
    <row r="4" spans="1:4" x14ac:dyDescent="0.35">
      <c r="A4" t="s">
        <v>63</v>
      </c>
      <c r="B4">
        <v>7</v>
      </c>
    </row>
    <row r="5" spans="1:4" x14ac:dyDescent="0.35">
      <c r="A5" t="s">
        <v>64</v>
      </c>
      <c r="B5">
        <v>8</v>
      </c>
    </row>
    <row r="6" spans="1:4" x14ac:dyDescent="0.35">
      <c r="A6" t="s">
        <v>65</v>
      </c>
      <c r="B6">
        <v>8</v>
      </c>
    </row>
    <row r="7" spans="1:4" x14ac:dyDescent="0.35">
      <c r="A7" t="s">
        <v>66</v>
      </c>
      <c r="B7">
        <v>13</v>
      </c>
    </row>
    <row r="8" spans="1:4" x14ac:dyDescent="0.35">
      <c r="A8" t="s">
        <v>67</v>
      </c>
      <c r="B8">
        <v>32</v>
      </c>
    </row>
    <row r="9" spans="1:4" x14ac:dyDescent="0.35">
      <c r="A9" t="s">
        <v>68</v>
      </c>
      <c r="B9">
        <v>8</v>
      </c>
    </row>
    <row r="11" spans="1:4" x14ac:dyDescent="0.35">
      <c r="A11" s="6" t="s">
        <v>69</v>
      </c>
      <c r="B11" s="6" t="s">
        <v>70</v>
      </c>
      <c r="C11" s="6" t="s">
        <v>71</v>
      </c>
      <c r="D11" s="6" t="s">
        <v>72</v>
      </c>
    </row>
    <row r="12" spans="1:4" x14ac:dyDescent="0.35">
      <c r="A12" t="s">
        <v>73</v>
      </c>
      <c r="B12" t="s">
        <v>74</v>
      </c>
      <c r="C12" t="s">
        <v>20</v>
      </c>
      <c r="D12" t="s">
        <v>18</v>
      </c>
    </row>
    <row r="13" spans="1:4" x14ac:dyDescent="0.35">
      <c r="A13" t="s">
        <v>73</v>
      </c>
      <c r="B13" t="s">
        <v>74</v>
      </c>
      <c r="C13" t="s">
        <v>35</v>
      </c>
      <c r="D13" t="s">
        <v>18</v>
      </c>
    </row>
    <row r="14" spans="1:4" x14ac:dyDescent="0.35">
      <c r="A14" t="s">
        <v>73</v>
      </c>
      <c r="B14" t="s">
        <v>74</v>
      </c>
      <c r="C14" t="s">
        <v>36</v>
      </c>
      <c r="D14" t="s">
        <v>18</v>
      </c>
    </row>
    <row r="15" spans="1:4" x14ac:dyDescent="0.35">
      <c r="A15" t="s">
        <v>73</v>
      </c>
      <c r="B15" t="s">
        <v>74</v>
      </c>
      <c r="C15" t="s">
        <v>38</v>
      </c>
      <c r="D15" t="s">
        <v>18</v>
      </c>
    </row>
    <row r="16" spans="1:4" x14ac:dyDescent="0.35">
      <c r="A16" t="s">
        <v>73</v>
      </c>
      <c r="B16" t="s">
        <v>74</v>
      </c>
      <c r="C16" t="s">
        <v>75</v>
      </c>
      <c r="D16" t="s">
        <v>18</v>
      </c>
    </row>
    <row r="17" spans="1:4" x14ac:dyDescent="0.35">
      <c r="A17" t="s">
        <v>76</v>
      </c>
      <c r="B17" t="s">
        <v>77</v>
      </c>
      <c r="C17" t="s">
        <v>20</v>
      </c>
      <c r="D17" t="s">
        <v>25</v>
      </c>
    </row>
    <row r="18" spans="1:4" x14ac:dyDescent="0.35">
      <c r="A18" t="s">
        <v>76</v>
      </c>
      <c r="B18" t="s">
        <v>77</v>
      </c>
      <c r="C18" t="s">
        <v>35</v>
      </c>
      <c r="D18" t="s">
        <v>25</v>
      </c>
    </row>
    <row r="19" spans="1:4" x14ac:dyDescent="0.35">
      <c r="A19" t="s">
        <v>76</v>
      </c>
      <c r="B19" t="s">
        <v>77</v>
      </c>
      <c r="C19" t="s">
        <v>36</v>
      </c>
      <c r="D19" t="s">
        <v>25</v>
      </c>
    </row>
    <row r="20" spans="1:4" x14ac:dyDescent="0.35">
      <c r="A20" t="s">
        <v>76</v>
      </c>
      <c r="B20" t="s">
        <v>77</v>
      </c>
      <c r="C20" t="s">
        <v>38</v>
      </c>
      <c r="D20" t="s">
        <v>25</v>
      </c>
    </row>
    <row r="21" spans="1:4" x14ac:dyDescent="0.35">
      <c r="A21" t="s">
        <v>76</v>
      </c>
      <c r="B21" t="s">
        <v>77</v>
      </c>
      <c r="C21" t="s">
        <v>75</v>
      </c>
      <c r="D21" t="s">
        <v>27</v>
      </c>
    </row>
    <row r="22" spans="1:4" x14ac:dyDescent="0.35">
      <c r="A22" t="s">
        <v>76</v>
      </c>
      <c r="B22" t="s">
        <v>77</v>
      </c>
      <c r="C22" t="s">
        <v>75</v>
      </c>
      <c r="D22" t="s">
        <v>28</v>
      </c>
    </row>
    <row r="23" spans="1:4" x14ac:dyDescent="0.35">
      <c r="A23" t="s">
        <v>76</v>
      </c>
      <c r="B23" t="s">
        <v>77</v>
      </c>
      <c r="C23" t="s">
        <v>75</v>
      </c>
      <c r="D23" t="s">
        <v>37</v>
      </c>
    </row>
    <row r="24" spans="1:4" x14ac:dyDescent="0.35">
      <c r="A24" t="s">
        <v>76</v>
      </c>
      <c r="B24" t="s">
        <v>78</v>
      </c>
      <c r="C24" t="s">
        <v>20</v>
      </c>
      <c r="D24" t="s">
        <v>27</v>
      </c>
    </row>
    <row r="25" spans="1:4" x14ac:dyDescent="0.35">
      <c r="A25" t="s">
        <v>76</v>
      </c>
      <c r="B25" t="s">
        <v>78</v>
      </c>
      <c r="C25" t="s">
        <v>35</v>
      </c>
      <c r="D25" t="s">
        <v>27</v>
      </c>
    </row>
    <row r="26" spans="1:4" x14ac:dyDescent="0.35">
      <c r="A26" t="s">
        <v>76</v>
      </c>
      <c r="B26" t="s">
        <v>78</v>
      </c>
      <c r="C26" t="s">
        <v>36</v>
      </c>
      <c r="D26" t="s">
        <v>27</v>
      </c>
    </row>
    <row r="27" spans="1:4" x14ac:dyDescent="0.35">
      <c r="A27" t="s">
        <v>76</v>
      </c>
      <c r="B27" t="s">
        <v>78</v>
      </c>
      <c r="C27" t="s">
        <v>38</v>
      </c>
      <c r="D27" t="s">
        <v>27</v>
      </c>
    </row>
    <row r="28" spans="1:4" x14ac:dyDescent="0.35">
      <c r="A28" t="s">
        <v>76</v>
      </c>
      <c r="B28" t="s">
        <v>79</v>
      </c>
      <c r="C28" t="s">
        <v>20</v>
      </c>
      <c r="D28" t="s">
        <v>28</v>
      </c>
    </row>
    <row r="29" spans="1:4" x14ac:dyDescent="0.35">
      <c r="A29" t="s">
        <v>76</v>
      </c>
      <c r="B29" t="s">
        <v>79</v>
      </c>
      <c r="C29" t="s">
        <v>35</v>
      </c>
      <c r="D29" t="s">
        <v>28</v>
      </c>
    </row>
    <row r="30" spans="1:4" x14ac:dyDescent="0.35">
      <c r="A30" t="s">
        <v>76</v>
      </c>
      <c r="B30" t="s">
        <v>79</v>
      </c>
      <c r="C30" t="s">
        <v>36</v>
      </c>
      <c r="D30" t="s">
        <v>28</v>
      </c>
    </row>
    <row r="31" spans="1:4" x14ac:dyDescent="0.35">
      <c r="A31" t="s">
        <v>76</v>
      </c>
      <c r="B31" t="s">
        <v>79</v>
      </c>
      <c r="C31" t="s">
        <v>38</v>
      </c>
      <c r="D31" t="s">
        <v>28</v>
      </c>
    </row>
    <row r="32" spans="1:4" x14ac:dyDescent="0.35">
      <c r="A32" t="s">
        <v>80</v>
      </c>
      <c r="B32" t="s">
        <v>74</v>
      </c>
      <c r="C32" t="s">
        <v>20</v>
      </c>
      <c r="D32" t="s">
        <v>29</v>
      </c>
    </row>
    <row r="33" spans="1:4" x14ac:dyDescent="0.35">
      <c r="A33" t="s">
        <v>80</v>
      </c>
      <c r="B33" t="s">
        <v>74</v>
      </c>
      <c r="C33" t="s">
        <v>35</v>
      </c>
      <c r="D33" t="s">
        <v>29</v>
      </c>
    </row>
    <row r="34" spans="1:4" x14ac:dyDescent="0.35">
      <c r="A34" t="s">
        <v>80</v>
      </c>
      <c r="B34" t="s">
        <v>74</v>
      </c>
      <c r="C34" t="s">
        <v>36</v>
      </c>
      <c r="D34" t="s">
        <v>29</v>
      </c>
    </row>
    <row r="35" spans="1:4" x14ac:dyDescent="0.35">
      <c r="A35" t="s">
        <v>80</v>
      </c>
      <c r="B35" t="s">
        <v>74</v>
      </c>
      <c r="C35" t="s">
        <v>38</v>
      </c>
      <c r="D35" t="s">
        <v>29</v>
      </c>
    </row>
    <row r="36" spans="1:4" x14ac:dyDescent="0.35">
      <c r="A36" t="s">
        <v>80</v>
      </c>
      <c r="B36" t="s">
        <v>74</v>
      </c>
      <c r="C36" t="s">
        <v>75</v>
      </c>
      <c r="D36" t="s">
        <v>29</v>
      </c>
    </row>
    <row r="37" spans="1:4" x14ac:dyDescent="0.35">
      <c r="A37" t="s">
        <v>81</v>
      </c>
      <c r="B37" t="s">
        <v>74</v>
      </c>
      <c r="C37" t="s">
        <v>20</v>
      </c>
      <c r="D37" t="s">
        <v>31</v>
      </c>
    </row>
    <row r="38" spans="1:4" x14ac:dyDescent="0.35">
      <c r="A38" t="s">
        <v>81</v>
      </c>
      <c r="B38" t="s">
        <v>74</v>
      </c>
      <c r="C38" t="s">
        <v>35</v>
      </c>
      <c r="D38" t="s">
        <v>31</v>
      </c>
    </row>
    <row r="39" spans="1:4" x14ac:dyDescent="0.35">
      <c r="A39" t="s">
        <v>81</v>
      </c>
      <c r="B39" t="s">
        <v>74</v>
      </c>
      <c r="C39" t="s">
        <v>36</v>
      </c>
      <c r="D39" t="s">
        <v>31</v>
      </c>
    </row>
    <row r="40" spans="1:4" x14ac:dyDescent="0.35">
      <c r="A40" t="s">
        <v>81</v>
      </c>
      <c r="B40" t="s">
        <v>74</v>
      </c>
      <c r="C40" t="s">
        <v>38</v>
      </c>
      <c r="D40" t="s">
        <v>31</v>
      </c>
    </row>
    <row r="41" spans="1:4" x14ac:dyDescent="0.35">
      <c r="A41" t="s">
        <v>81</v>
      </c>
      <c r="B41" t="s">
        <v>74</v>
      </c>
      <c r="C41" t="s">
        <v>75</v>
      </c>
      <c r="D41" t="s">
        <v>31</v>
      </c>
    </row>
    <row r="42" spans="1:4" x14ac:dyDescent="0.35">
      <c r="A42" t="s">
        <v>82</v>
      </c>
      <c r="B42" t="s">
        <v>74</v>
      </c>
      <c r="C42" t="s">
        <v>20</v>
      </c>
      <c r="D42" t="s">
        <v>33</v>
      </c>
    </row>
    <row r="43" spans="1:4" x14ac:dyDescent="0.35">
      <c r="A43" t="s">
        <v>82</v>
      </c>
      <c r="B43" t="s">
        <v>74</v>
      </c>
      <c r="C43" t="s">
        <v>35</v>
      </c>
      <c r="D43" t="s">
        <v>33</v>
      </c>
    </row>
    <row r="44" spans="1:4" x14ac:dyDescent="0.35">
      <c r="A44" t="s">
        <v>82</v>
      </c>
      <c r="B44" t="s">
        <v>74</v>
      </c>
      <c r="C44" t="s">
        <v>36</v>
      </c>
      <c r="D44" t="s">
        <v>33</v>
      </c>
    </row>
    <row r="45" spans="1:4" x14ac:dyDescent="0.35">
      <c r="A45" t="s">
        <v>82</v>
      </c>
      <c r="B45" t="s">
        <v>74</v>
      </c>
      <c r="C45" t="s">
        <v>38</v>
      </c>
      <c r="D45" t="s">
        <v>33</v>
      </c>
    </row>
    <row r="46" spans="1:4" x14ac:dyDescent="0.35">
      <c r="A46" t="s">
        <v>82</v>
      </c>
      <c r="B46" t="s">
        <v>74</v>
      </c>
      <c r="C46" t="s">
        <v>75</v>
      </c>
      <c r="D46" t="s">
        <v>39</v>
      </c>
    </row>
    <row r="47" spans="1:4" x14ac:dyDescent="0.35">
      <c r="A47" t="s">
        <v>82</v>
      </c>
      <c r="B47" t="s">
        <v>74</v>
      </c>
      <c r="C47" t="s">
        <v>75</v>
      </c>
      <c r="D47" t="s">
        <v>40</v>
      </c>
    </row>
    <row r="48" spans="1:4" x14ac:dyDescent="0.35">
      <c r="A48" t="s">
        <v>82</v>
      </c>
      <c r="B48" t="s">
        <v>74</v>
      </c>
      <c r="C48" t="s">
        <v>75</v>
      </c>
      <c r="D48" t="s">
        <v>41</v>
      </c>
    </row>
    <row r="49" spans="1:4" x14ac:dyDescent="0.35">
      <c r="A49" t="s">
        <v>82</v>
      </c>
      <c r="B49" t="s">
        <v>74</v>
      </c>
      <c r="C49" t="s">
        <v>75</v>
      </c>
      <c r="D49" t="s">
        <v>42</v>
      </c>
    </row>
    <row r="50" spans="1:4" x14ac:dyDescent="0.35">
      <c r="A50" t="s">
        <v>82</v>
      </c>
      <c r="B50" t="s">
        <v>74</v>
      </c>
      <c r="C50" t="s">
        <v>75</v>
      </c>
      <c r="D50" t="s">
        <v>43</v>
      </c>
    </row>
    <row r="51" spans="1:4" x14ac:dyDescent="0.35">
      <c r="A51" t="s">
        <v>82</v>
      </c>
      <c r="B51" t="s">
        <v>74</v>
      </c>
      <c r="C51" t="s">
        <v>75</v>
      </c>
      <c r="D51" t="s">
        <v>44</v>
      </c>
    </row>
    <row r="52" spans="1:4" x14ac:dyDescent="0.35">
      <c r="A52" t="s">
        <v>82</v>
      </c>
      <c r="B52" t="s">
        <v>74</v>
      </c>
      <c r="C52" t="s">
        <v>75</v>
      </c>
      <c r="D52" t="s">
        <v>45</v>
      </c>
    </row>
    <row r="53" spans="1:4" x14ac:dyDescent="0.35">
      <c r="A53" t="s">
        <v>83</v>
      </c>
      <c r="B53" t="s">
        <v>37</v>
      </c>
      <c r="C53" t="s">
        <v>36</v>
      </c>
      <c r="D53" t="s">
        <v>37</v>
      </c>
    </row>
    <row r="54" spans="1:4" x14ac:dyDescent="0.35">
      <c r="A54" t="s">
        <v>83</v>
      </c>
      <c r="B54" t="s">
        <v>37</v>
      </c>
      <c r="C54" t="s">
        <v>38</v>
      </c>
      <c r="D54" t="s">
        <v>37</v>
      </c>
    </row>
    <row r="55" spans="1:4" x14ac:dyDescent="0.35">
      <c r="A55" t="s">
        <v>83</v>
      </c>
      <c r="B55" t="s">
        <v>37</v>
      </c>
      <c r="C55" t="s">
        <v>75</v>
      </c>
      <c r="D55"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Capital_Committ_Fund_Perform</vt:lpstr>
      <vt:lpstr>Realisations_Fund_Perform</vt:lpstr>
      <vt:lpstr>EBITDA</vt:lpstr>
      <vt:lpstr>EBITDA Margin</vt:lpstr>
      <vt:lpstr>Revenue</vt:lpstr>
      <vt:lpstr>Business Performance &amp; ESG</vt:lpstr>
      <vt:lpstr>Platform Performance</vt:lpstr>
      <vt:lpstr>Business Performance &amp; ESG_V1</vt:lpstr>
      <vt:lpstr>Platform Performance_V1</vt:lpstr>
      <vt:lpstr>_Extraction_Summary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Tiago Bellas</dc:creator>
  <cp:lastModifiedBy>Tiago Bellas</cp:lastModifiedBy>
  <dcterms:created xsi:type="dcterms:W3CDTF">2026-06-02T11:23:17Z</dcterms:created>
  <dcterms:modified xsi:type="dcterms:W3CDTF">2026-06-02T11:32:07Z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27483d0-a4df-465b-b7b0-7bd7228386b5_Enabled">
    <vt:lpwstr>true</vt:lpwstr>
  </property>
  <property fmtid="{D5CDD505-2E9C-101B-9397-08002B2CF9AE}" pid="3" name="MSIP_Label_527483d0-a4df-465b-b7b0-7bd7228386b5_SetDate">
    <vt:lpwstr>2026-06-02T11:23:00Z</vt:lpwstr>
  </property>
  <property fmtid="{D5CDD505-2E9C-101B-9397-08002B2CF9AE}" pid="4" name="MSIP_Label_527483d0-a4df-465b-b7b0-7bd7228386b5_Method">
    <vt:lpwstr>Standard</vt:lpwstr>
  </property>
  <property fmtid="{D5CDD505-2E9C-101B-9397-08002B2CF9AE}" pid="5" name="MSIP_Label_527483d0-a4df-465b-b7b0-7bd7228386b5_Name">
    <vt:lpwstr>Internal - General</vt:lpwstr>
  </property>
  <property fmtid="{D5CDD505-2E9C-101B-9397-08002B2CF9AE}" pid="6" name="MSIP_Label_527483d0-a4df-465b-b7b0-7bd7228386b5_SiteId">
    <vt:lpwstr>8e2b2676-5959-45f4-8f07-e0a4278385cf</vt:lpwstr>
  </property>
  <property fmtid="{D5CDD505-2E9C-101B-9397-08002B2CF9AE}" pid="7" name="MSIP_Label_527483d0-a4df-465b-b7b0-7bd7228386b5_ActionId">
    <vt:lpwstr>486ff6d7-b968-4ab0-b385-dd1d9e7fecd9</vt:lpwstr>
  </property>
  <property fmtid="{D5CDD505-2E9C-101B-9397-08002B2CF9AE}" pid="8" name="MSIP_Label_527483d0-a4df-465b-b7b0-7bd7228386b5_ContentBits">
    <vt:lpwstr>0</vt:lpwstr>
  </property>
  <property fmtid="{D5CDD505-2E9C-101B-9397-08002B2CF9AE}" pid="9" name="MSIP_Label_527483d0-a4df-465b-b7b0-7bd7228386b5_Tag">
    <vt:lpwstr>10, 3, 0, 1</vt:lpwstr>
  </property>
</Properties>
</file>